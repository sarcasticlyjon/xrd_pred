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zovatel/Downloads/mlxrd_repo_mvp/data/raw/excel/"/>
    </mc:Choice>
  </mc:AlternateContent>
  <xr:revisionPtr revIDLastSave="0" documentId="13_ncr:1_{6610C72F-1E6F-6C4D-B462-8836EBF6AB3B}" xr6:coauthVersionLast="47" xr6:coauthVersionMax="47" xr10:uidLastSave="{00000000-0000-0000-0000-000000000000}"/>
  <bookViews>
    <workbookView xWindow="0" yWindow="680" windowWidth="30240" windowHeight="17180" xr2:uid="{FE163143-9205-B647-BAD5-BD47DCB34E2B}"/>
  </bookViews>
  <sheets>
    <sheet name="STO" sheetId="1" r:id="rId1"/>
    <sheet name="BSnT" sheetId="2" r:id="rId2"/>
    <sheet name="BZrT" sheetId="3" r:id="rId3"/>
  </sheets>
  <definedNames>
    <definedName name="_xlnm._FilterDatabase" localSheetId="0" hidden="1">STO!$A$1:$O$106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10" authorId="0" shapeId="0" xr:uid="{8B1CD7AB-19C8-F948-931F-4C71F424F5CC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Замена газовой смеси
</t>
        </r>
      </text>
    </comment>
    <comment ref="I19" authorId="0" shapeId="0" xr:uid="{FF275693-A9EA-BC42-8000-97F311CF2C22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Замена баллона </t>
        </r>
        <r>
          <rPr>
            <sz val="10"/>
            <color rgb="FF000000"/>
            <rFont val="Tahoma"/>
            <family val="2"/>
            <charset val="204"/>
          </rPr>
          <t>Ar/)2=19/6</t>
        </r>
      </text>
    </comment>
    <comment ref="I31" authorId="0" shapeId="0" xr:uid="{B34B518F-6E89-0542-A00E-15CB3BA8C7CC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23.01.2024 </t>
        </r>
      </text>
    </comment>
    <comment ref="I48" authorId="0" shapeId="0" xr:uid="{6F989F21-273A-954A-B33A-515A7B56D6FA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Новая Печь
</t>
        </r>
      </text>
    </comment>
    <comment ref="I62" authorId="0" shapeId="0" xr:uid="{58780F62-9AE8-664B-BC6A-AB9E6EFB0F04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Замена фор. насоса
</t>
        </r>
      </text>
    </comment>
    <comment ref="I68" authorId="0" shapeId="0" xr:uid="{C430C655-45CB-5C4B-B7D3-8863ABA9B8F6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Замена баллона </t>
        </r>
      </text>
    </comment>
    <comment ref="I74" authorId="0" shapeId="0" xr:uid="{FA6ECB9D-7688-8D40-8E38-EFECE975B17D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замена магнита</t>
        </r>
      </text>
    </comment>
    <comment ref="I82" authorId="0" shapeId="0" xr:uid="{ECE48C82-C9C6-7546-A4A4-9CD1B1577CA2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Переборка узла магнетрона</t>
        </r>
      </text>
    </comment>
    <comment ref="I86" authorId="0" shapeId="0" xr:uid="{F601019B-8715-6643-8AD5-59B4D1733ADB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Эксперименты с магнитами</t>
        </r>
      </text>
    </comment>
    <comment ref="I106" authorId="0" shapeId="0" xr:uid="{F2EB21F9-ADAC-0341-9EAD-8D1F8204E63A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Эксперименты с магнитами</t>
        </r>
      </text>
    </comment>
  </commentList>
</comments>
</file>

<file path=xl/sharedStrings.xml><?xml version="1.0" encoding="utf-8"?>
<sst xmlns="http://schemas.openxmlformats.org/spreadsheetml/2006/main" count="1035" uniqueCount="263">
  <si>
    <t>number</t>
  </si>
  <si>
    <t>target</t>
  </si>
  <si>
    <t>substrate</t>
  </si>
  <si>
    <t>t_min</t>
  </si>
  <si>
    <t>Т_mV</t>
  </si>
  <si>
    <t>P_Pa</t>
  </si>
  <si>
    <t>gas</t>
  </si>
  <si>
    <t>Рентген</t>
  </si>
  <si>
    <t>Элект-во</t>
  </si>
  <si>
    <t>Отжиг</t>
  </si>
  <si>
    <t>РИСЭ</t>
  </si>
  <si>
    <t>T</t>
  </si>
  <si>
    <t>B-371</t>
  </si>
  <si>
    <t>STO</t>
  </si>
  <si>
    <t>sap, alum</t>
  </si>
  <si>
    <t>Ar/O2 = 3/1</t>
  </si>
  <si>
    <t>B-372</t>
  </si>
  <si>
    <t>B-373</t>
  </si>
  <si>
    <t>B-376</t>
  </si>
  <si>
    <t>sap, alum,SiC</t>
  </si>
  <si>
    <t>B-377</t>
  </si>
  <si>
    <t>B-378</t>
  </si>
  <si>
    <t>SiC, sap</t>
  </si>
  <si>
    <t>B-379</t>
  </si>
  <si>
    <t>B-380</t>
  </si>
  <si>
    <t>B-381</t>
  </si>
  <si>
    <t>B-382</t>
  </si>
  <si>
    <t>B-383</t>
  </si>
  <si>
    <t>B-384</t>
  </si>
  <si>
    <t>B-385</t>
  </si>
  <si>
    <t>B-386</t>
  </si>
  <si>
    <t>B-387</t>
  </si>
  <si>
    <t>B-388п</t>
  </si>
  <si>
    <t>alum</t>
  </si>
  <si>
    <t>B-388</t>
  </si>
  <si>
    <t>STO, alum</t>
  </si>
  <si>
    <t>В-389</t>
  </si>
  <si>
    <t>alum, sap</t>
  </si>
  <si>
    <t>B-390</t>
  </si>
  <si>
    <t>B-391</t>
  </si>
  <si>
    <t>В-392</t>
  </si>
  <si>
    <t>B-393</t>
  </si>
  <si>
    <t>alum, sap, SiC</t>
  </si>
  <si>
    <t>B-394</t>
  </si>
  <si>
    <t>B-395</t>
  </si>
  <si>
    <t>B-396</t>
  </si>
  <si>
    <t>B-397</t>
  </si>
  <si>
    <t>B-409</t>
  </si>
  <si>
    <t>B-410</t>
  </si>
  <si>
    <t>B-411</t>
  </si>
  <si>
    <t>B-412</t>
  </si>
  <si>
    <t>B-413</t>
  </si>
  <si>
    <t>Ar/O2 = 7/3</t>
  </si>
  <si>
    <t>B-414</t>
  </si>
  <si>
    <t>Ar/O2 = 8/2</t>
  </si>
  <si>
    <t>B-415</t>
  </si>
  <si>
    <t>Ar/O2 = 3/2</t>
  </si>
  <si>
    <t>B-416</t>
  </si>
  <si>
    <t>Ar/O2 = 9/1</t>
  </si>
  <si>
    <t>B-417</t>
  </si>
  <si>
    <t>B-418</t>
  </si>
  <si>
    <t>Ar/O2 = 1/1</t>
  </si>
  <si>
    <t>B-419</t>
  </si>
  <si>
    <t>Ar/O2 = 2/3</t>
  </si>
  <si>
    <t>B-420</t>
  </si>
  <si>
    <t>Ar/O2 = 3/7</t>
  </si>
  <si>
    <t>B-421</t>
  </si>
  <si>
    <t>Ar/O2 = 2/8</t>
  </si>
  <si>
    <t>B-422</t>
  </si>
  <si>
    <t>Ar/O2 = 1/9</t>
  </si>
  <si>
    <t>B-423</t>
  </si>
  <si>
    <t>Ar/O2 = 1/0</t>
  </si>
  <si>
    <t>B-424</t>
  </si>
  <si>
    <t>Ar/O2 = 0/1</t>
  </si>
  <si>
    <t>B-425</t>
  </si>
  <si>
    <t>B-426</t>
  </si>
  <si>
    <t>Ar/O2 = 19/1</t>
  </si>
  <si>
    <t>B-427</t>
  </si>
  <si>
    <t>Ar/O2 = 17/3</t>
  </si>
  <si>
    <t>B-428</t>
  </si>
  <si>
    <t>B-429</t>
  </si>
  <si>
    <t>B-430</t>
  </si>
  <si>
    <t>B-431</t>
  </si>
  <si>
    <t>пром</t>
  </si>
  <si>
    <t>B-432</t>
  </si>
  <si>
    <t>B-433</t>
  </si>
  <si>
    <t>B-434</t>
  </si>
  <si>
    <t>B-435</t>
  </si>
  <si>
    <t>B-436</t>
  </si>
  <si>
    <t>B-437</t>
  </si>
  <si>
    <t>B-438</t>
  </si>
  <si>
    <t>B-439</t>
  </si>
  <si>
    <t>Ar/O2 =2/3</t>
  </si>
  <si>
    <t>B-440</t>
  </si>
  <si>
    <t>Ar/O2 =3/7</t>
  </si>
  <si>
    <t>B-441</t>
  </si>
  <si>
    <t>Ar/O2 =8/2</t>
  </si>
  <si>
    <t>B-442</t>
  </si>
  <si>
    <t>Ar/O2 =1/9</t>
  </si>
  <si>
    <t>B-443</t>
  </si>
  <si>
    <t>Ar/O2 =3/2</t>
  </si>
  <si>
    <t>B-444</t>
  </si>
  <si>
    <t>Ar/O2=7/3</t>
  </si>
  <si>
    <t>B-445</t>
  </si>
  <si>
    <t>Ar/O2=8/2</t>
  </si>
  <si>
    <t>B-454</t>
  </si>
  <si>
    <t>sap</t>
  </si>
  <si>
    <t>B-455(355)</t>
  </si>
  <si>
    <t>B-457</t>
  </si>
  <si>
    <t>alum, sap, SiC, LAO</t>
  </si>
  <si>
    <t>B-458</t>
  </si>
  <si>
    <t>B-462</t>
  </si>
  <si>
    <t>B-463</t>
  </si>
  <si>
    <t>B-464</t>
  </si>
  <si>
    <t>SiC, LAO</t>
  </si>
  <si>
    <t>B-465</t>
  </si>
  <si>
    <t>B-466</t>
  </si>
  <si>
    <t>B-467</t>
  </si>
  <si>
    <t>B-487</t>
  </si>
  <si>
    <t>B-488</t>
  </si>
  <si>
    <t>B-488.2</t>
  </si>
  <si>
    <t>B-489</t>
  </si>
  <si>
    <t>B-490</t>
  </si>
  <si>
    <t>B-491</t>
  </si>
  <si>
    <t>alum,sap</t>
  </si>
  <si>
    <t>B-492</t>
  </si>
  <si>
    <t>B-493</t>
  </si>
  <si>
    <t>B-502</t>
  </si>
  <si>
    <t>Ar/O2=9/1</t>
  </si>
  <si>
    <t>BSnT 5/5</t>
  </si>
  <si>
    <t>sap+Pt, SiC, MMG-60</t>
  </si>
  <si>
    <t>SiC, sap, alum</t>
  </si>
  <si>
    <t>BSnT 2/8</t>
  </si>
  <si>
    <t>sap, alum Au+Pt</t>
  </si>
  <si>
    <t>B-312</t>
  </si>
  <si>
    <t>Ar/O2 = 2/1</t>
  </si>
  <si>
    <t>B-313</t>
  </si>
  <si>
    <t>B-314</t>
  </si>
  <si>
    <t>B-318</t>
  </si>
  <si>
    <t>B-319</t>
  </si>
  <si>
    <t>B-323</t>
  </si>
  <si>
    <t>B-324</t>
  </si>
  <si>
    <t>B-325</t>
  </si>
  <si>
    <t>B-326</t>
  </si>
  <si>
    <t>B-327</t>
  </si>
  <si>
    <t>B-329</t>
  </si>
  <si>
    <t>B-330</t>
  </si>
  <si>
    <t>B-331</t>
  </si>
  <si>
    <t>B-337</t>
  </si>
  <si>
    <t>B-338</t>
  </si>
  <si>
    <t>B-339</t>
  </si>
  <si>
    <t>B-340</t>
  </si>
  <si>
    <t>B-341</t>
  </si>
  <si>
    <t>B-342</t>
  </si>
  <si>
    <t>B-343</t>
  </si>
  <si>
    <t>B-344</t>
  </si>
  <si>
    <t>alum, SiC, sap</t>
  </si>
  <si>
    <t>B-345</t>
  </si>
  <si>
    <t>н.у</t>
  </si>
  <si>
    <t>B-346</t>
  </si>
  <si>
    <t>B-347</t>
  </si>
  <si>
    <t>у</t>
  </si>
  <si>
    <t>B-348</t>
  </si>
  <si>
    <t>B-349</t>
  </si>
  <si>
    <t>B-350</t>
  </si>
  <si>
    <t>B-351</t>
  </si>
  <si>
    <t>B-352</t>
  </si>
  <si>
    <t>B-359</t>
  </si>
  <si>
    <t>BSnT 3/7</t>
  </si>
  <si>
    <t>B-360</t>
  </si>
  <si>
    <t>B-361</t>
  </si>
  <si>
    <t>BSnT 4/6</t>
  </si>
  <si>
    <t>B-362</t>
  </si>
  <si>
    <t>B-363</t>
  </si>
  <si>
    <t>B-364</t>
  </si>
  <si>
    <t>B-365</t>
  </si>
  <si>
    <t>B-366</t>
  </si>
  <si>
    <t>BST/sap, SiC, alum</t>
  </si>
  <si>
    <t>B-367</t>
  </si>
  <si>
    <t>BST/alum, sap, SiC, alum</t>
  </si>
  <si>
    <t>B-368</t>
  </si>
  <si>
    <t>B-406</t>
  </si>
  <si>
    <t>B-407</t>
  </si>
  <si>
    <t>B-408</t>
  </si>
  <si>
    <t>коментарий</t>
  </si>
  <si>
    <t>BZT 5/5</t>
  </si>
  <si>
    <t>sap+Pt, sap</t>
  </si>
  <si>
    <t>предраспыление 80/28мВ/10Па, предварител. щтжиг Pt 80/28mV</t>
  </si>
  <si>
    <t>sap+Ti/Pt</t>
  </si>
  <si>
    <t>2 процесса: 1 - для 2148; 2 - свой собственный; нагрев после O2</t>
  </si>
  <si>
    <t>сверху на 2147, т.о. 2х слойная</t>
  </si>
  <si>
    <t xml:space="preserve">BZT 5/5 </t>
  </si>
  <si>
    <t>латр - термопара</t>
  </si>
  <si>
    <t>выход: 36 мВ, 10-2 Па за 40; 36-28 мВ (5' шаг), латр - термопара</t>
  </si>
  <si>
    <t>выход: 36 мВ, 10-2 Па за 40; 36-28 мВ (6' шаг)</t>
  </si>
  <si>
    <t>пром. Отжиг. Tвых = 40, Tнапыл = 6х20 = 120; Tотжига = 5х10 = 50, латр - термопара</t>
  </si>
  <si>
    <t>отжиг - время 2310, нач отжиг 32-36, нач напыл 32-36, латр - термопара</t>
  </si>
  <si>
    <t>BZT 2/8</t>
  </si>
  <si>
    <t>sap/alum 6х10, Au и Pt(us)</t>
  </si>
  <si>
    <t>BZT 6/4</t>
  </si>
  <si>
    <t>sap/alum 2 шт, Au и Pt(us); SiC</t>
  </si>
  <si>
    <t>SiC, sap, sap + Pt (MMG)</t>
  </si>
  <si>
    <t>SiC, sap, sap + Pt(P)/Ti(k) (MMG-60)</t>
  </si>
  <si>
    <t>SiC, sap, sap + Pt (MMG-61)</t>
  </si>
  <si>
    <t>sap + SiC</t>
  </si>
  <si>
    <t>sap, SiC</t>
  </si>
  <si>
    <t xml:space="preserve">alum </t>
  </si>
  <si>
    <t>Ar/O2 = 4/1</t>
  </si>
  <si>
    <t>sap + Pt</t>
  </si>
  <si>
    <t>пронин</t>
  </si>
  <si>
    <t>цвет не однородный</t>
  </si>
  <si>
    <t>облезла</t>
  </si>
  <si>
    <t>BZT 9/1</t>
  </si>
  <si>
    <t>SiC, sap, sap + Pt</t>
  </si>
  <si>
    <t>Pt слезла, выход Ar с 10 Па - 20</t>
  </si>
  <si>
    <t>Pt слезла</t>
  </si>
  <si>
    <t>Pt-все хорошо</t>
  </si>
  <si>
    <t>t36=30+10; t32=200</t>
  </si>
  <si>
    <t>tпыл = 30выход+7х20 + 30; tотж=7x10</t>
  </si>
  <si>
    <t>sap, SiC, alum</t>
  </si>
  <si>
    <t>B-315</t>
  </si>
  <si>
    <t>B-316</t>
  </si>
  <si>
    <t>B-317</t>
  </si>
  <si>
    <t>B-332</t>
  </si>
  <si>
    <t>B-333</t>
  </si>
  <si>
    <t>B-334</t>
  </si>
  <si>
    <t>B-335</t>
  </si>
  <si>
    <t>B-336</t>
  </si>
  <si>
    <t>B-353</t>
  </si>
  <si>
    <t>B-354</t>
  </si>
  <si>
    <t>B-355</t>
  </si>
  <si>
    <t>B-356</t>
  </si>
  <si>
    <t>B-357</t>
  </si>
  <si>
    <t>B-369</t>
  </si>
  <si>
    <t>B-370</t>
  </si>
  <si>
    <t>B-503</t>
  </si>
  <si>
    <t>B-504</t>
  </si>
  <si>
    <t>B-507</t>
  </si>
  <si>
    <t>B-510</t>
  </si>
  <si>
    <t>B-512</t>
  </si>
  <si>
    <t>B-513</t>
  </si>
  <si>
    <t>Pwr</t>
  </si>
  <si>
    <t>B-514</t>
  </si>
  <si>
    <t>B-516</t>
  </si>
  <si>
    <t>Осаждено до 21.03.2024?</t>
  </si>
  <si>
    <t>нет</t>
  </si>
  <si>
    <t>да</t>
  </si>
  <si>
    <t>B-517</t>
  </si>
  <si>
    <t>B-518</t>
  </si>
  <si>
    <t>B-519</t>
  </si>
  <si>
    <t>B-520</t>
  </si>
  <si>
    <t>B-521</t>
  </si>
  <si>
    <t>B-522</t>
  </si>
  <si>
    <t>B-523</t>
  </si>
  <si>
    <t>B-524</t>
  </si>
  <si>
    <t>B-525</t>
  </si>
  <si>
    <t>B-526</t>
  </si>
  <si>
    <t>B-527</t>
  </si>
  <si>
    <t>B-529</t>
  </si>
  <si>
    <t>B-530</t>
  </si>
  <si>
    <t>B-531</t>
  </si>
  <si>
    <t>B-532</t>
  </si>
  <si>
    <t>Equ_num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</si>
</sst>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2"/>
      <color rgb="FFFFFF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B0F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charset val="204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0099"/>
        <bgColor rgb="FF000099"/>
      </patternFill>
    </fill>
    <fill>
      <patternFill patternType="solid">
        <fgColor theme="0"/>
        <bgColor theme="0"/>
      </patternFill>
    </fill>
    <fill>
      <patternFill patternType="solid">
        <fgColor rgb="FFDBD600"/>
        <bgColor rgb="FFDBD6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00B0F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0" xfId="0" applyFont="1"/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0" xfId="0" applyFont="1"/>
    <xf numFmtId="0" fontId="1" fillId="3" borderId="17" xfId="0" applyFont="1" applyFill="1" applyBorder="1" applyAlignment="1">
      <alignment horizontal="center" vertical="center" wrapText="1"/>
    </xf>
    <xf numFmtId="0" fontId="0" fillId="0" borderId="17" xfId="0" applyBorder="1"/>
    <xf numFmtId="0" fontId="1" fillId="3" borderId="13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3" fillId="12" borderId="17" xfId="0" applyFont="1" applyFill="1" applyBorder="1"/>
    <xf numFmtId="0" fontId="3" fillId="13" borderId="17" xfId="0" applyFont="1" applyFill="1" applyBorder="1"/>
    <xf numFmtId="0" fontId="9" fillId="13" borderId="17" xfId="0" applyFont="1" applyFill="1" applyBorder="1"/>
    <xf numFmtId="0" fontId="0" fillId="14" borderId="17" xfId="0" applyFill="1" applyBorder="1"/>
    <xf numFmtId="0" fontId="5" fillId="14" borderId="17" xfId="0" applyFont="1" applyFill="1" applyBorder="1"/>
    <xf numFmtId="0" fontId="5" fillId="15" borderId="17" xfId="0" applyFont="1" applyFill="1" applyBorder="1"/>
    <xf numFmtId="0" fontId="3" fillId="16" borderId="17" xfId="0" applyFont="1" applyFill="1" applyBorder="1"/>
    <xf numFmtId="0" fontId="9" fillId="16" borderId="17" xfId="0" applyFont="1" applyFill="1" applyBorder="1"/>
    <xf numFmtId="0" fontId="3" fillId="17" borderId="17" xfId="0" applyFont="1" applyFill="1" applyBorder="1"/>
    <xf numFmtId="0" fontId="9" fillId="17" borderId="17" xfId="0" applyFont="1" applyFill="1" applyBorder="1"/>
    <xf numFmtId="0" fontId="5" fillId="18" borderId="17" xfId="0" applyFont="1" applyFill="1" applyBorder="1"/>
    <xf numFmtId="0" fontId="5" fillId="13" borderId="17" xfId="0" applyFont="1" applyFill="1" applyBorder="1"/>
    <xf numFmtId="0" fontId="0" fillId="13" borderId="17" xfId="0" applyFill="1" applyBorder="1"/>
    <xf numFmtId="0" fontId="3" fillId="19" borderId="17" xfId="0" applyFont="1" applyFill="1" applyBorder="1"/>
    <xf numFmtId="0" fontId="9" fillId="19" borderId="17" xfId="0" applyFont="1" applyFill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4" fillId="16" borderId="17" xfId="0" applyFont="1" applyFill="1" applyBorder="1"/>
    <xf numFmtId="0" fontId="9" fillId="17" borderId="18" xfId="0" applyFont="1" applyFill="1" applyBorder="1"/>
    <xf numFmtId="0" fontId="9" fillId="16" borderId="22" xfId="0" applyFont="1" applyFill="1" applyBorder="1"/>
    <xf numFmtId="0" fontId="1" fillId="11" borderId="20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9" fillId="17" borderId="23" xfId="0" applyFont="1" applyFill="1" applyBorder="1"/>
    <xf numFmtId="0" fontId="9" fillId="12" borderId="23" xfId="0" applyFont="1" applyFill="1" applyBorder="1"/>
    <xf numFmtId="0" fontId="9" fillId="13" borderId="23" xfId="0" applyFont="1" applyFill="1" applyBorder="1"/>
    <xf numFmtId="0" fontId="9" fillId="14" borderId="23" xfId="0" applyFont="1" applyFill="1" applyBorder="1"/>
    <xf numFmtId="0" fontId="9" fillId="15" borderId="23" xfId="0" applyFont="1" applyFill="1" applyBorder="1"/>
    <xf numFmtId="0" fontId="9" fillId="18" borderId="23" xfId="0" applyFont="1" applyFill="1" applyBorder="1"/>
    <xf numFmtId="0" fontId="9" fillId="17" borderId="24" xfId="0" applyFont="1" applyFill="1" applyBorder="1"/>
    <xf numFmtId="0" fontId="9" fillId="17" borderId="20" xfId="0" applyFont="1" applyFill="1" applyBorder="1"/>
    <xf numFmtId="0" fontId="9" fillId="12" borderId="20" xfId="0" applyFont="1" applyFill="1" applyBorder="1"/>
    <xf numFmtId="0" fontId="9" fillId="13" borderId="20" xfId="0" applyFont="1" applyFill="1" applyBorder="1"/>
    <xf numFmtId="0" fontId="9" fillId="14" borderId="20" xfId="0" applyFont="1" applyFill="1" applyBorder="1"/>
    <xf numFmtId="0" fontId="9" fillId="15" borderId="20" xfId="0" applyFont="1" applyFill="1" applyBorder="1"/>
    <xf numFmtId="0" fontId="9" fillId="18" borderId="20" xfId="0" applyFont="1" applyFill="1" applyBorder="1"/>
    <xf numFmtId="0" fontId="1" fillId="11" borderId="20" xfId="0" applyFont="1" applyFill="1" applyBorder="1" applyAlignment="1">
      <alignment vertical="center" wrapText="1"/>
    </xf>
    <xf numFmtId="0" fontId="5" fillId="21" borderId="22" xfId="0" applyFont="1" applyFill="1" applyBorder="1"/>
    <xf numFmtId="0" fontId="5" fillId="21" borderId="25" xfId="0" applyFont="1" applyFill="1" applyBorder="1"/>
    <xf numFmtId="0" fontId="5" fillId="20" borderId="22" xfId="0" applyFont="1" applyFill="1" applyBorder="1"/>
    <xf numFmtId="0" fontId="5" fillId="14" borderId="0" xfId="0" applyFont="1" applyFill="1"/>
    <xf numFmtId="0" fontId="9" fillId="14" borderId="0" xfId="0" applyFont="1" applyFill="1"/>
    <xf numFmtId="0" fontId="9" fillId="18" borderId="26" xfId="0" applyFont="1" applyFill="1" applyBorder="1"/>
    <xf numFmtId="0" fontId="9" fillId="18" borderId="17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DEC8-907F-9447-8D48-C7923336BC4B}">
  <sheetPr filterMode="1"/>
  <dimension ref="A1:U106"/>
  <sheetViews>
    <sheetView tabSelected="1" zoomScale="185" workbookViewId="0">
      <selection activeCell="I1" sqref="I1"/>
    </sheetView>
  </sheetViews>
  <sheetFormatPr baseColWidth="10" defaultRowHeight="16" x14ac:dyDescent="0.2"/>
  <cols>
    <col min="10" max="10" width="18" customWidth="1"/>
  </cols>
  <sheetData>
    <row r="1" spans="1:21" ht="35" thickBot="1" x14ac:dyDescent="0.25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2" t="s">
        <v>6</v>
      </c>
      <c r="H1" s="77" t="s">
        <v>241</v>
      </c>
      <c r="I1" s="76" t="s">
        <v>262</v>
      </c>
      <c r="J1" s="91" t="s">
        <v>244</v>
      </c>
      <c r="K1" s="54" t="s">
        <v>7</v>
      </c>
      <c r="L1" s="3" t="s">
        <v>8</v>
      </c>
      <c r="M1" s="4" t="s">
        <v>9</v>
      </c>
      <c r="N1" s="5" t="s">
        <v>10</v>
      </c>
      <c r="O1" s="6" t="s">
        <v>11</v>
      </c>
    </row>
    <row r="2" spans="1:21" ht="17" hidden="1" thickBot="1" x14ac:dyDescent="0.25">
      <c r="A2" s="62" t="s">
        <v>12</v>
      </c>
      <c r="B2" s="62" t="s">
        <v>13</v>
      </c>
      <c r="C2" s="62" t="s">
        <v>14</v>
      </c>
      <c r="D2" s="62">
        <v>120</v>
      </c>
      <c r="E2" s="62">
        <v>33.270000000000003</v>
      </c>
      <c r="F2" s="62">
        <v>3</v>
      </c>
      <c r="G2" s="62" t="s">
        <v>15</v>
      </c>
      <c r="H2" s="63">
        <v>100</v>
      </c>
      <c r="I2" s="75">
        <v>7</v>
      </c>
      <c r="J2" s="92" t="s">
        <v>245</v>
      </c>
      <c r="K2" s="52"/>
    </row>
    <row r="3" spans="1:21" ht="17" hidden="1" thickBot="1" x14ac:dyDescent="0.25">
      <c r="A3" s="62" t="s">
        <v>16</v>
      </c>
      <c r="B3" s="62" t="s">
        <v>13</v>
      </c>
      <c r="C3" s="62" t="s">
        <v>14</v>
      </c>
      <c r="D3" s="62">
        <v>120</v>
      </c>
      <c r="E3" s="62">
        <v>29.8</v>
      </c>
      <c r="F3" s="62">
        <v>3</v>
      </c>
      <c r="G3" s="62" t="s">
        <v>15</v>
      </c>
      <c r="H3" s="63">
        <v>100</v>
      </c>
      <c r="I3" s="75">
        <v>7</v>
      </c>
      <c r="J3" s="92" t="s">
        <v>245</v>
      </c>
      <c r="K3" s="52"/>
    </row>
    <row r="4" spans="1:21" ht="17" hidden="1" thickBot="1" x14ac:dyDescent="0.25">
      <c r="A4" s="73" t="s">
        <v>17</v>
      </c>
      <c r="B4" s="73" t="s">
        <v>13</v>
      </c>
      <c r="C4" s="73" t="s">
        <v>14</v>
      </c>
      <c r="D4" s="73">
        <v>120</v>
      </c>
      <c r="E4" s="73">
        <v>25.5</v>
      </c>
      <c r="F4" s="73">
        <v>3</v>
      </c>
      <c r="G4" s="73" t="s">
        <v>15</v>
      </c>
      <c r="H4" s="63">
        <v>100</v>
      </c>
      <c r="I4" s="75">
        <v>7</v>
      </c>
      <c r="J4" s="92" t="s">
        <v>245</v>
      </c>
      <c r="K4" s="52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7" hidden="1" thickBot="1" x14ac:dyDescent="0.25">
      <c r="A5" s="62" t="s">
        <v>18</v>
      </c>
      <c r="B5" s="62" t="s">
        <v>13</v>
      </c>
      <c r="C5" s="62" t="s">
        <v>19</v>
      </c>
      <c r="D5" s="62">
        <v>120</v>
      </c>
      <c r="E5" s="62">
        <v>30.6</v>
      </c>
      <c r="F5" s="62">
        <v>3</v>
      </c>
      <c r="G5" s="62" t="s">
        <v>15</v>
      </c>
      <c r="H5" s="63">
        <v>100</v>
      </c>
      <c r="I5" s="75">
        <v>7</v>
      </c>
      <c r="J5" s="92" t="s">
        <v>245</v>
      </c>
      <c r="K5" s="52"/>
    </row>
    <row r="6" spans="1:21" ht="17" hidden="1" thickBot="1" x14ac:dyDescent="0.25">
      <c r="A6" s="62" t="s">
        <v>20</v>
      </c>
      <c r="B6" s="62" t="s">
        <v>13</v>
      </c>
      <c r="C6" s="62" t="s">
        <v>19</v>
      </c>
      <c r="D6" s="62">
        <v>120</v>
      </c>
      <c r="E6" s="62">
        <v>32.5</v>
      </c>
      <c r="F6" s="62">
        <v>3</v>
      </c>
      <c r="G6" s="62" t="s">
        <v>15</v>
      </c>
      <c r="H6" s="63">
        <v>100</v>
      </c>
      <c r="I6" s="75">
        <v>7</v>
      </c>
      <c r="J6" s="92" t="s">
        <v>245</v>
      </c>
      <c r="K6" s="52"/>
    </row>
    <row r="7" spans="1:21" ht="18" hidden="1" thickBot="1" x14ac:dyDescent="0.25">
      <c r="A7" s="62" t="s">
        <v>21</v>
      </c>
      <c r="B7" s="62" t="s">
        <v>13</v>
      </c>
      <c r="C7" s="62" t="s">
        <v>19</v>
      </c>
      <c r="D7" s="62">
        <v>1</v>
      </c>
      <c r="E7" s="62">
        <v>33.5</v>
      </c>
      <c r="F7" s="62">
        <v>5.3</v>
      </c>
      <c r="G7" s="62" t="s">
        <v>15</v>
      </c>
      <c r="H7" s="63">
        <v>40</v>
      </c>
      <c r="I7" s="75">
        <v>7</v>
      </c>
      <c r="J7" s="92" t="s">
        <v>245</v>
      </c>
      <c r="K7" s="53"/>
      <c r="N7" s="5" t="s">
        <v>22</v>
      </c>
    </row>
    <row r="8" spans="1:21" ht="18" hidden="1" thickBot="1" x14ac:dyDescent="0.25">
      <c r="A8" s="62" t="s">
        <v>23</v>
      </c>
      <c r="B8" s="62" t="s">
        <v>13</v>
      </c>
      <c r="C8" s="62" t="s">
        <v>19</v>
      </c>
      <c r="D8" s="62">
        <f>20/60</f>
        <v>0.33333333333333331</v>
      </c>
      <c r="E8" s="62">
        <v>33.4</v>
      </c>
      <c r="F8" s="62">
        <v>5.3</v>
      </c>
      <c r="G8" s="62" t="s">
        <v>15</v>
      </c>
      <c r="H8" s="63">
        <v>40</v>
      </c>
      <c r="I8" s="75">
        <v>7</v>
      </c>
      <c r="J8" s="92" t="s">
        <v>245</v>
      </c>
      <c r="K8" s="53"/>
      <c r="N8" s="5" t="s">
        <v>22</v>
      </c>
    </row>
    <row r="9" spans="1:21" ht="18" hidden="1" thickBot="1" x14ac:dyDescent="0.25">
      <c r="A9" s="62" t="s">
        <v>24</v>
      </c>
      <c r="B9" s="62" t="s">
        <v>13</v>
      </c>
      <c r="C9" s="62" t="s">
        <v>19</v>
      </c>
      <c r="D9" s="62">
        <f>40/60</f>
        <v>0.66666666666666663</v>
      </c>
      <c r="E9" s="62">
        <v>33.700000000000003</v>
      </c>
      <c r="F9" s="62">
        <v>5.3</v>
      </c>
      <c r="G9" s="62" t="s">
        <v>15</v>
      </c>
      <c r="H9" s="63">
        <v>40</v>
      </c>
      <c r="I9" s="75">
        <v>7</v>
      </c>
      <c r="J9" s="92" t="s">
        <v>245</v>
      </c>
      <c r="K9" s="53"/>
      <c r="N9" s="5" t="s">
        <v>22</v>
      </c>
    </row>
    <row r="10" spans="1:21" ht="18" hidden="1" thickBot="1" x14ac:dyDescent="0.25">
      <c r="A10" s="62" t="s">
        <v>25</v>
      </c>
      <c r="B10" s="62" t="s">
        <v>13</v>
      </c>
      <c r="C10" s="62" t="s">
        <v>19</v>
      </c>
      <c r="D10" s="62">
        <f>80/60</f>
        <v>1.3333333333333333</v>
      </c>
      <c r="E10" s="62">
        <v>33.200000000000003</v>
      </c>
      <c r="F10" s="62">
        <v>5.3</v>
      </c>
      <c r="G10" s="62" t="s">
        <v>15</v>
      </c>
      <c r="H10" s="63">
        <v>40</v>
      </c>
      <c r="I10" s="75">
        <v>7</v>
      </c>
      <c r="J10" s="92" t="s">
        <v>245</v>
      </c>
      <c r="K10" s="53"/>
      <c r="N10" s="5" t="s">
        <v>22</v>
      </c>
    </row>
    <row r="11" spans="1:21" ht="17" hidden="1" thickBot="1" x14ac:dyDescent="0.25">
      <c r="A11" s="69" t="s">
        <v>26</v>
      </c>
      <c r="B11" s="69" t="s">
        <v>13</v>
      </c>
      <c r="C11" s="69" t="s">
        <v>19</v>
      </c>
      <c r="D11" s="69">
        <v>120</v>
      </c>
      <c r="E11" s="69">
        <v>26.7</v>
      </c>
      <c r="F11" s="69">
        <v>3</v>
      </c>
      <c r="G11" s="69" t="s">
        <v>15</v>
      </c>
      <c r="H11" s="70">
        <v>100</v>
      </c>
      <c r="I11" s="70">
        <v>9</v>
      </c>
      <c r="J11" s="92" t="s">
        <v>245</v>
      </c>
      <c r="K11" s="52"/>
    </row>
    <row r="12" spans="1:21" ht="17" hidden="1" thickBot="1" x14ac:dyDescent="0.25">
      <c r="A12" s="69" t="s">
        <v>27</v>
      </c>
      <c r="B12" s="69" t="s">
        <v>13</v>
      </c>
      <c r="C12" s="69" t="s">
        <v>19</v>
      </c>
      <c r="D12" s="69">
        <v>120</v>
      </c>
      <c r="E12" s="69">
        <v>34.299999999999997</v>
      </c>
      <c r="F12" s="69">
        <v>3</v>
      </c>
      <c r="G12" s="69" t="s">
        <v>15</v>
      </c>
      <c r="H12" s="70">
        <v>100</v>
      </c>
      <c r="I12" s="70">
        <v>9</v>
      </c>
      <c r="J12" s="92" t="s">
        <v>245</v>
      </c>
      <c r="K12" s="52"/>
    </row>
    <row r="13" spans="1:21" ht="17" hidden="1" thickBot="1" x14ac:dyDescent="0.25">
      <c r="A13" s="69" t="s">
        <v>28</v>
      </c>
      <c r="B13" s="69" t="s">
        <v>13</v>
      </c>
      <c r="C13" s="69" t="s">
        <v>19</v>
      </c>
      <c r="D13" s="69">
        <v>150</v>
      </c>
      <c r="E13" s="69">
        <v>26.9</v>
      </c>
      <c r="F13" s="69">
        <v>6</v>
      </c>
      <c r="G13" s="69" t="s">
        <v>15</v>
      </c>
      <c r="H13" s="70">
        <v>100</v>
      </c>
      <c r="I13" s="70">
        <v>9</v>
      </c>
      <c r="J13" s="92" t="s">
        <v>245</v>
      </c>
      <c r="K13" s="52"/>
    </row>
    <row r="14" spans="1:21" ht="17" hidden="1" thickBot="1" x14ac:dyDescent="0.25">
      <c r="A14" s="69" t="s">
        <v>29</v>
      </c>
      <c r="B14" s="69" t="s">
        <v>13</v>
      </c>
      <c r="C14" s="69" t="s">
        <v>19</v>
      </c>
      <c r="D14" s="69">
        <v>150</v>
      </c>
      <c r="E14" s="69">
        <v>29.8</v>
      </c>
      <c r="F14" s="69">
        <v>6</v>
      </c>
      <c r="G14" s="69" t="s">
        <v>15</v>
      </c>
      <c r="H14" s="70">
        <v>100</v>
      </c>
      <c r="I14" s="70">
        <v>9</v>
      </c>
      <c r="J14" s="92" t="s">
        <v>245</v>
      </c>
      <c r="K14" s="52"/>
    </row>
    <row r="15" spans="1:21" ht="17" hidden="1" thickBot="1" x14ac:dyDescent="0.25">
      <c r="A15" s="69" t="s">
        <v>30</v>
      </c>
      <c r="B15" s="69" t="s">
        <v>13</v>
      </c>
      <c r="C15" s="69" t="s">
        <v>14</v>
      </c>
      <c r="D15" s="69">
        <v>150</v>
      </c>
      <c r="E15" s="69">
        <v>33.4</v>
      </c>
      <c r="F15" s="69">
        <v>6</v>
      </c>
      <c r="G15" s="69" t="s">
        <v>15</v>
      </c>
      <c r="H15" s="70">
        <v>100</v>
      </c>
      <c r="I15" s="70">
        <v>9</v>
      </c>
      <c r="J15" s="92" t="s">
        <v>245</v>
      </c>
      <c r="K15" s="52"/>
    </row>
    <row r="16" spans="1:21" ht="17" hidden="1" thickBot="1" x14ac:dyDescent="0.25">
      <c r="A16" s="69" t="s">
        <v>31</v>
      </c>
      <c r="B16" s="69" t="s">
        <v>13</v>
      </c>
      <c r="C16" s="69" t="s">
        <v>14</v>
      </c>
      <c r="D16" s="69">
        <v>150</v>
      </c>
      <c r="E16" s="69">
        <v>36.5</v>
      </c>
      <c r="F16" s="69">
        <v>6</v>
      </c>
      <c r="G16" s="69" t="s">
        <v>15</v>
      </c>
      <c r="H16" s="70">
        <v>100</v>
      </c>
      <c r="I16" s="70">
        <v>9</v>
      </c>
      <c r="J16" s="92" t="s">
        <v>245</v>
      </c>
      <c r="K16" s="52"/>
    </row>
    <row r="17" spans="1:11" ht="17" hidden="1" thickBot="1" x14ac:dyDescent="0.25">
      <c r="A17" s="69" t="s">
        <v>32</v>
      </c>
      <c r="B17" s="69" t="s">
        <v>13</v>
      </c>
      <c r="C17" s="69" t="s">
        <v>33</v>
      </c>
      <c r="D17" s="69">
        <v>15</v>
      </c>
      <c r="E17" s="69">
        <v>29.3</v>
      </c>
      <c r="F17" s="69">
        <v>3</v>
      </c>
      <c r="G17" s="69" t="s">
        <v>15</v>
      </c>
      <c r="H17" s="70">
        <v>100</v>
      </c>
      <c r="I17" s="70">
        <v>9</v>
      </c>
      <c r="J17" s="92" t="s">
        <v>245</v>
      </c>
      <c r="K17" s="52"/>
    </row>
    <row r="18" spans="1:11" ht="17" hidden="1" thickBot="1" x14ac:dyDescent="0.25">
      <c r="A18" s="69" t="s">
        <v>34</v>
      </c>
      <c r="B18" s="69" t="s">
        <v>13</v>
      </c>
      <c r="C18" s="69" t="s">
        <v>35</v>
      </c>
      <c r="D18" s="69">
        <v>120</v>
      </c>
      <c r="E18" s="69">
        <v>33.299999999999997</v>
      </c>
      <c r="F18" s="69">
        <v>6</v>
      </c>
      <c r="G18" s="69" t="s">
        <v>15</v>
      </c>
      <c r="H18" s="70">
        <v>100</v>
      </c>
      <c r="I18" s="70">
        <v>9</v>
      </c>
      <c r="J18" s="92" t="s">
        <v>245</v>
      </c>
      <c r="K18" s="52"/>
    </row>
    <row r="19" spans="1:11" ht="17" hidden="1" thickBot="1" x14ac:dyDescent="0.25">
      <c r="A19" s="69" t="s">
        <v>36</v>
      </c>
      <c r="B19" s="69" t="s">
        <v>13</v>
      </c>
      <c r="C19" s="69" t="s">
        <v>37</v>
      </c>
      <c r="D19" s="69">
        <v>240</v>
      </c>
      <c r="E19" s="69">
        <v>37.22</v>
      </c>
      <c r="F19" s="69">
        <v>10</v>
      </c>
      <c r="G19" s="69" t="s">
        <v>15</v>
      </c>
      <c r="H19" s="70">
        <v>100</v>
      </c>
      <c r="I19" s="70">
        <v>9</v>
      </c>
      <c r="J19" s="92" t="s">
        <v>245</v>
      </c>
      <c r="K19" s="52"/>
    </row>
    <row r="20" spans="1:11" ht="17" hidden="1" thickBot="1" x14ac:dyDescent="0.25">
      <c r="A20" s="64" t="s">
        <v>38</v>
      </c>
      <c r="B20" s="64" t="s">
        <v>13</v>
      </c>
      <c r="C20" s="64" t="s">
        <v>37</v>
      </c>
      <c r="D20" s="64">
        <v>240</v>
      </c>
      <c r="E20" s="64">
        <v>33.700000000000003</v>
      </c>
      <c r="F20" s="64">
        <v>10</v>
      </c>
      <c r="G20" s="64" t="s">
        <v>15</v>
      </c>
      <c r="H20" s="65">
        <v>100</v>
      </c>
      <c r="I20" s="74">
        <v>10</v>
      </c>
      <c r="J20" s="92" t="s">
        <v>245</v>
      </c>
      <c r="K20" s="55"/>
    </row>
    <row r="21" spans="1:11" ht="17" hidden="1" thickBot="1" x14ac:dyDescent="0.25">
      <c r="A21" s="64" t="s">
        <v>39</v>
      </c>
      <c r="B21" s="64" t="s">
        <v>13</v>
      </c>
      <c r="C21" s="64" t="s">
        <v>37</v>
      </c>
      <c r="D21" s="64">
        <v>240</v>
      </c>
      <c r="E21" s="64">
        <v>29.4</v>
      </c>
      <c r="F21" s="64">
        <v>10</v>
      </c>
      <c r="G21" s="64" t="s">
        <v>15</v>
      </c>
      <c r="H21" s="65">
        <v>100</v>
      </c>
      <c r="I21" s="74">
        <v>10</v>
      </c>
      <c r="J21" s="92" t="s">
        <v>245</v>
      </c>
      <c r="K21" s="55"/>
    </row>
    <row r="22" spans="1:11" ht="17" hidden="1" thickBot="1" x14ac:dyDescent="0.25">
      <c r="A22" s="64" t="s">
        <v>40</v>
      </c>
      <c r="B22" s="64" t="s">
        <v>13</v>
      </c>
      <c r="C22" s="64" t="s">
        <v>37</v>
      </c>
      <c r="D22" s="64">
        <v>240</v>
      </c>
      <c r="E22" s="64">
        <v>25.7</v>
      </c>
      <c r="F22" s="64">
        <v>10</v>
      </c>
      <c r="G22" s="64" t="s">
        <v>15</v>
      </c>
      <c r="H22" s="65">
        <v>100</v>
      </c>
      <c r="I22" s="84">
        <v>10</v>
      </c>
      <c r="J22" s="92" t="s">
        <v>245</v>
      </c>
      <c r="K22" s="55"/>
    </row>
    <row r="23" spans="1:11" ht="17" hidden="1" thickBot="1" x14ac:dyDescent="0.25">
      <c r="A23" s="64" t="s">
        <v>41</v>
      </c>
      <c r="B23" s="64" t="s">
        <v>13</v>
      </c>
      <c r="C23" s="64" t="s">
        <v>42</v>
      </c>
      <c r="D23" s="64">
        <v>240</v>
      </c>
      <c r="E23" s="64">
        <v>37.299999999999997</v>
      </c>
      <c r="F23" s="64">
        <v>10</v>
      </c>
      <c r="G23" s="64" t="s">
        <v>15</v>
      </c>
      <c r="H23" s="78">
        <v>100</v>
      </c>
      <c r="I23" s="85">
        <v>10</v>
      </c>
      <c r="J23" s="93" t="s">
        <v>245</v>
      </c>
    </row>
    <row r="24" spans="1:11" ht="17" hidden="1" thickBot="1" x14ac:dyDescent="0.25">
      <c r="A24" s="64" t="s">
        <v>43</v>
      </c>
      <c r="B24" s="64" t="s">
        <v>13</v>
      </c>
      <c r="C24" s="64" t="s">
        <v>42</v>
      </c>
      <c r="D24" s="64">
        <v>150</v>
      </c>
      <c r="E24" s="64">
        <v>37.299999999999997</v>
      </c>
      <c r="F24" s="64">
        <v>6</v>
      </c>
      <c r="G24" s="64" t="s">
        <v>15</v>
      </c>
      <c r="H24" s="78">
        <v>100</v>
      </c>
      <c r="I24" s="85">
        <v>10</v>
      </c>
      <c r="J24" s="93" t="s">
        <v>245</v>
      </c>
    </row>
    <row r="25" spans="1:11" ht="17" hidden="1" thickBot="1" x14ac:dyDescent="0.25">
      <c r="A25" s="64" t="s">
        <v>44</v>
      </c>
      <c r="B25" s="64" t="s">
        <v>13</v>
      </c>
      <c r="C25" s="64" t="s">
        <v>42</v>
      </c>
      <c r="D25" s="64">
        <v>120</v>
      </c>
      <c r="E25" s="64">
        <v>37.4</v>
      </c>
      <c r="F25" s="64">
        <v>3</v>
      </c>
      <c r="G25" s="64" t="s">
        <v>15</v>
      </c>
      <c r="H25" s="78">
        <v>100</v>
      </c>
      <c r="I25" s="85">
        <v>10</v>
      </c>
      <c r="J25" s="93" t="s">
        <v>245</v>
      </c>
    </row>
    <row r="26" spans="1:11" ht="17" hidden="1" thickBot="1" x14ac:dyDescent="0.25">
      <c r="A26" s="64" t="s">
        <v>45</v>
      </c>
      <c r="B26" s="64" t="s">
        <v>13</v>
      </c>
      <c r="C26" s="64" t="s">
        <v>42</v>
      </c>
      <c r="D26" s="64">
        <v>240</v>
      </c>
      <c r="E26" s="64">
        <v>32.9</v>
      </c>
      <c r="F26" s="64">
        <v>10</v>
      </c>
      <c r="G26" s="64" t="s">
        <v>15</v>
      </c>
      <c r="H26" s="78">
        <v>100</v>
      </c>
      <c r="I26" s="85">
        <v>10</v>
      </c>
      <c r="J26" s="93" t="s">
        <v>245</v>
      </c>
    </row>
    <row r="27" spans="1:11" ht="17" hidden="1" thickBot="1" x14ac:dyDescent="0.25">
      <c r="A27" s="64" t="s">
        <v>46</v>
      </c>
      <c r="B27" s="64" t="s">
        <v>13</v>
      </c>
      <c r="C27" s="64" t="s">
        <v>42</v>
      </c>
      <c r="D27" s="64">
        <v>240</v>
      </c>
      <c r="E27" s="64">
        <v>29.4</v>
      </c>
      <c r="F27" s="64">
        <v>10</v>
      </c>
      <c r="G27" s="64" t="s">
        <v>15</v>
      </c>
      <c r="H27" s="78">
        <v>100</v>
      </c>
      <c r="I27" s="85">
        <v>10</v>
      </c>
      <c r="J27" s="93" t="s">
        <v>245</v>
      </c>
    </row>
    <row r="28" spans="1:11" ht="17" hidden="1" thickBot="1" x14ac:dyDescent="0.25">
      <c r="A28" s="64" t="s">
        <v>47</v>
      </c>
      <c r="B28" s="64" t="s">
        <v>13</v>
      </c>
      <c r="C28" s="64" t="s">
        <v>33</v>
      </c>
      <c r="D28" s="64">
        <v>300</v>
      </c>
      <c r="E28" s="64">
        <v>37</v>
      </c>
      <c r="F28" s="64">
        <v>10</v>
      </c>
      <c r="G28" s="64" t="s">
        <v>15</v>
      </c>
      <c r="H28" s="78">
        <v>100</v>
      </c>
      <c r="I28" s="85">
        <v>10</v>
      </c>
      <c r="J28" s="92" t="s">
        <v>245</v>
      </c>
    </row>
    <row r="29" spans="1:11" ht="17" hidden="1" thickBot="1" x14ac:dyDescent="0.25">
      <c r="A29" s="64" t="s">
        <v>48</v>
      </c>
      <c r="B29" s="64" t="s">
        <v>13</v>
      </c>
      <c r="C29" s="64" t="s">
        <v>37</v>
      </c>
      <c r="D29" s="64">
        <v>195</v>
      </c>
      <c r="E29" s="64">
        <v>36.799999999999997</v>
      </c>
      <c r="F29" s="64">
        <v>6</v>
      </c>
      <c r="G29" s="64" t="s">
        <v>15</v>
      </c>
      <c r="H29" s="78">
        <v>100</v>
      </c>
      <c r="I29" s="85">
        <v>10</v>
      </c>
      <c r="J29" s="92" t="s">
        <v>245</v>
      </c>
    </row>
    <row r="30" spans="1:11" ht="17" hidden="1" thickBot="1" x14ac:dyDescent="0.25">
      <c r="A30" s="64" t="s">
        <v>49</v>
      </c>
      <c r="B30" s="64" t="s">
        <v>13</v>
      </c>
      <c r="C30" s="64" t="s">
        <v>37</v>
      </c>
      <c r="D30" s="64">
        <v>195</v>
      </c>
      <c r="E30" s="64">
        <v>37.42</v>
      </c>
      <c r="F30" s="64">
        <v>6</v>
      </c>
      <c r="G30" s="64" t="s">
        <v>15</v>
      </c>
      <c r="H30" s="78">
        <v>100</v>
      </c>
      <c r="I30" s="85">
        <v>10</v>
      </c>
      <c r="J30" s="92" t="s">
        <v>245</v>
      </c>
    </row>
    <row r="31" spans="1:11" ht="17" hidden="1" thickBot="1" x14ac:dyDescent="0.25">
      <c r="A31" s="64" t="s">
        <v>50</v>
      </c>
      <c r="B31" s="64" t="s">
        <v>13</v>
      </c>
      <c r="C31" s="64" t="s">
        <v>37</v>
      </c>
      <c r="D31" s="64">
        <v>180</v>
      </c>
      <c r="E31" s="64">
        <v>37.369999999999997</v>
      </c>
      <c r="F31" s="64">
        <v>3</v>
      </c>
      <c r="G31" s="64" t="s">
        <v>15</v>
      </c>
      <c r="H31" s="78">
        <v>80</v>
      </c>
      <c r="I31" s="85">
        <v>10</v>
      </c>
      <c r="J31" s="92" t="s">
        <v>245</v>
      </c>
    </row>
    <row r="32" spans="1:11" ht="17" thickBot="1" x14ac:dyDescent="0.25">
      <c r="A32" s="56" t="s">
        <v>51</v>
      </c>
      <c r="B32" s="56" t="s">
        <v>13</v>
      </c>
      <c r="C32" s="56" t="s">
        <v>37</v>
      </c>
      <c r="D32" s="56">
        <v>150</v>
      </c>
      <c r="E32" s="56">
        <v>37.700000000000003</v>
      </c>
      <c r="F32" s="56">
        <v>6</v>
      </c>
      <c r="G32" s="56" t="s">
        <v>52</v>
      </c>
      <c r="H32" s="79">
        <v>100</v>
      </c>
      <c r="I32" s="86">
        <v>11</v>
      </c>
      <c r="J32" s="94" t="s">
        <v>246</v>
      </c>
    </row>
    <row r="33" spans="1:10" ht="17" thickBot="1" x14ac:dyDescent="0.25">
      <c r="A33" s="56" t="s">
        <v>53</v>
      </c>
      <c r="B33" s="56" t="s">
        <v>13</v>
      </c>
      <c r="C33" s="56" t="s">
        <v>37</v>
      </c>
      <c r="D33" s="56">
        <v>150</v>
      </c>
      <c r="E33" s="56">
        <v>37.799999999999997</v>
      </c>
      <c r="F33" s="56">
        <v>6</v>
      </c>
      <c r="G33" s="56" t="s">
        <v>54</v>
      </c>
      <c r="H33" s="79">
        <v>100</v>
      </c>
      <c r="I33" s="86">
        <v>11</v>
      </c>
      <c r="J33" s="94" t="s">
        <v>246</v>
      </c>
    </row>
    <row r="34" spans="1:10" ht="17" thickBot="1" x14ac:dyDescent="0.25">
      <c r="A34" s="56" t="s">
        <v>55</v>
      </c>
      <c r="B34" s="56" t="s">
        <v>13</v>
      </c>
      <c r="C34" s="56" t="s">
        <v>37</v>
      </c>
      <c r="D34" s="56">
        <v>150</v>
      </c>
      <c r="E34" s="56">
        <v>37.799999999999997</v>
      </c>
      <c r="F34" s="56">
        <v>6</v>
      </c>
      <c r="G34" s="56" t="s">
        <v>56</v>
      </c>
      <c r="H34" s="79">
        <v>100</v>
      </c>
      <c r="I34" s="86">
        <v>11</v>
      </c>
      <c r="J34" s="94" t="s">
        <v>246</v>
      </c>
    </row>
    <row r="35" spans="1:10" ht="17" thickBot="1" x14ac:dyDescent="0.25">
      <c r="A35" s="56" t="s">
        <v>57</v>
      </c>
      <c r="B35" s="56" t="s">
        <v>13</v>
      </c>
      <c r="C35" s="56" t="s">
        <v>37</v>
      </c>
      <c r="D35" s="56">
        <v>150</v>
      </c>
      <c r="E35" s="56">
        <v>37.799999999999997</v>
      </c>
      <c r="F35" s="56">
        <v>6</v>
      </c>
      <c r="G35" s="56" t="s">
        <v>58</v>
      </c>
      <c r="H35" s="79">
        <v>100</v>
      </c>
      <c r="I35" s="86">
        <v>11</v>
      </c>
      <c r="J35" s="94" t="s">
        <v>246</v>
      </c>
    </row>
    <row r="36" spans="1:10" ht="17" thickBot="1" x14ac:dyDescent="0.25">
      <c r="A36" s="56" t="s">
        <v>59</v>
      </c>
      <c r="B36" s="56" t="s">
        <v>13</v>
      </c>
      <c r="C36" s="56" t="s">
        <v>37</v>
      </c>
      <c r="D36" s="56">
        <v>150</v>
      </c>
      <c r="E36" s="56">
        <v>37.799999999999997</v>
      </c>
      <c r="F36" s="56">
        <v>6</v>
      </c>
      <c r="G36" s="56" t="s">
        <v>58</v>
      </c>
      <c r="H36" s="79">
        <v>100</v>
      </c>
      <c r="I36" s="86">
        <v>11</v>
      </c>
      <c r="J36" s="94" t="s">
        <v>246</v>
      </c>
    </row>
    <row r="37" spans="1:10" ht="17" thickBot="1" x14ac:dyDescent="0.25">
      <c r="A37" s="56" t="s">
        <v>60</v>
      </c>
      <c r="B37" s="56" t="s">
        <v>13</v>
      </c>
      <c r="C37" s="56" t="s">
        <v>37</v>
      </c>
      <c r="D37" s="56">
        <v>150</v>
      </c>
      <c r="E37" s="56">
        <v>37.799999999999997</v>
      </c>
      <c r="F37" s="56">
        <v>6</v>
      </c>
      <c r="G37" s="56" t="s">
        <v>61</v>
      </c>
      <c r="H37" s="79">
        <v>100</v>
      </c>
      <c r="I37" s="86">
        <v>11</v>
      </c>
      <c r="J37" s="94" t="s">
        <v>246</v>
      </c>
    </row>
    <row r="38" spans="1:10" ht="17" thickBot="1" x14ac:dyDescent="0.25">
      <c r="A38" s="56" t="s">
        <v>62</v>
      </c>
      <c r="B38" s="56" t="s">
        <v>13</v>
      </c>
      <c r="C38" s="56" t="s">
        <v>37</v>
      </c>
      <c r="D38" s="56">
        <v>150</v>
      </c>
      <c r="E38" s="56">
        <v>37.799999999999997</v>
      </c>
      <c r="F38" s="56">
        <v>6</v>
      </c>
      <c r="G38" s="56" t="s">
        <v>63</v>
      </c>
      <c r="H38" s="79">
        <v>100</v>
      </c>
      <c r="I38" s="86">
        <v>11</v>
      </c>
      <c r="J38" s="94" t="s">
        <v>246</v>
      </c>
    </row>
    <row r="39" spans="1:10" ht="17" thickBot="1" x14ac:dyDescent="0.25">
      <c r="A39" s="56" t="s">
        <v>64</v>
      </c>
      <c r="B39" s="56" t="s">
        <v>13</v>
      </c>
      <c r="C39" s="56" t="s">
        <v>37</v>
      </c>
      <c r="D39" s="56">
        <v>150</v>
      </c>
      <c r="E39" s="56">
        <v>38.200000000000003</v>
      </c>
      <c r="F39" s="56">
        <v>6</v>
      </c>
      <c r="G39" s="56" t="s">
        <v>65</v>
      </c>
      <c r="H39" s="79">
        <v>100</v>
      </c>
      <c r="I39" s="86">
        <v>11</v>
      </c>
      <c r="J39" s="94" t="s">
        <v>246</v>
      </c>
    </row>
    <row r="40" spans="1:10" ht="17" thickBot="1" x14ac:dyDescent="0.25">
      <c r="A40" s="56" t="s">
        <v>66</v>
      </c>
      <c r="B40" s="56" t="s">
        <v>13</v>
      </c>
      <c r="C40" s="56" t="s">
        <v>37</v>
      </c>
      <c r="D40" s="56">
        <v>150</v>
      </c>
      <c r="E40" s="56">
        <v>37.6</v>
      </c>
      <c r="F40" s="56">
        <v>6</v>
      </c>
      <c r="G40" s="56" t="s">
        <v>67</v>
      </c>
      <c r="H40" s="79">
        <v>100</v>
      </c>
      <c r="I40" s="86">
        <v>11</v>
      </c>
      <c r="J40" s="94" t="s">
        <v>246</v>
      </c>
    </row>
    <row r="41" spans="1:10" ht="17" thickBot="1" x14ac:dyDescent="0.25">
      <c r="A41" s="56" t="s">
        <v>68</v>
      </c>
      <c r="B41" s="56" t="s">
        <v>13</v>
      </c>
      <c r="C41" s="56" t="s">
        <v>37</v>
      </c>
      <c r="D41" s="56">
        <v>150</v>
      </c>
      <c r="E41" s="56">
        <v>38.299999999999997</v>
      </c>
      <c r="F41" s="56">
        <v>6</v>
      </c>
      <c r="G41" s="56" t="s">
        <v>69</v>
      </c>
      <c r="H41" s="79">
        <v>100</v>
      </c>
      <c r="I41" s="86">
        <v>11</v>
      </c>
      <c r="J41" s="94" t="s">
        <v>246</v>
      </c>
    </row>
    <row r="42" spans="1:10" ht="17" thickBot="1" x14ac:dyDescent="0.25">
      <c r="A42" s="56" t="s">
        <v>70</v>
      </c>
      <c r="B42" s="56" t="s">
        <v>13</v>
      </c>
      <c r="C42" s="56" t="s">
        <v>37</v>
      </c>
      <c r="D42" s="56">
        <v>150</v>
      </c>
      <c r="E42" s="56">
        <v>38.1</v>
      </c>
      <c r="F42" s="56">
        <v>6</v>
      </c>
      <c r="G42" s="56" t="s">
        <v>71</v>
      </c>
      <c r="H42" s="79">
        <v>100</v>
      </c>
      <c r="I42" s="86">
        <v>11</v>
      </c>
      <c r="J42" s="94" t="s">
        <v>246</v>
      </c>
    </row>
    <row r="43" spans="1:10" ht="17" thickBot="1" x14ac:dyDescent="0.25">
      <c r="A43" s="56" t="s">
        <v>72</v>
      </c>
      <c r="B43" s="56" t="s">
        <v>13</v>
      </c>
      <c r="C43" s="56" t="s">
        <v>37</v>
      </c>
      <c r="D43" s="56">
        <v>150</v>
      </c>
      <c r="E43" s="56">
        <v>37.9</v>
      </c>
      <c r="F43" s="56">
        <v>6</v>
      </c>
      <c r="G43" s="56" t="s">
        <v>73</v>
      </c>
      <c r="H43" s="79">
        <v>100</v>
      </c>
      <c r="I43" s="86">
        <v>11</v>
      </c>
      <c r="J43" s="94" t="s">
        <v>246</v>
      </c>
    </row>
    <row r="44" spans="1:10" ht="17" thickBot="1" x14ac:dyDescent="0.25">
      <c r="A44" s="56" t="s">
        <v>74</v>
      </c>
      <c r="B44" s="56" t="s">
        <v>13</v>
      </c>
      <c r="C44" s="56" t="s">
        <v>37</v>
      </c>
      <c r="D44" s="56">
        <v>150</v>
      </c>
      <c r="E44" s="56">
        <v>38.1</v>
      </c>
      <c r="F44" s="56">
        <v>6</v>
      </c>
      <c r="G44" s="56" t="s">
        <v>58</v>
      </c>
      <c r="H44" s="79">
        <v>100</v>
      </c>
      <c r="I44" s="86">
        <v>11</v>
      </c>
      <c r="J44" s="94" t="s">
        <v>246</v>
      </c>
    </row>
    <row r="45" spans="1:10" ht="17" thickBot="1" x14ac:dyDescent="0.25">
      <c r="A45" s="56" t="s">
        <v>75</v>
      </c>
      <c r="B45" s="56" t="s">
        <v>13</v>
      </c>
      <c r="C45" s="56" t="s">
        <v>37</v>
      </c>
      <c r="D45" s="56">
        <v>150</v>
      </c>
      <c r="E45" s="56">
        <v>38.200000000000003</v>
      </c>
      <c r="F45" s="56">
        <v>6</v>
      </c>
      <c r="G45" s="56" t="s">
        <v>76</v>
      </c>
      <c r="H45" s="79">
        <v>100</v>
      </c>
      <c r="I45" s="86">
        <v>11</v>
      </c>
      <c r="J45" s="94" t="s">
        <v>246</v>
      </c>
    </row>
    <row r="46" spans="1:10" ht="17" thickBot="1" x14ac:dyDescent="0.25">
      <c r="A46" s="56" t="s">
        <v>77</v>
      </c>
      <c r="B46" s="56" t="s">
        <v>13</v>
      </c>
      <c r="C46" s="56" t="s">
        <v>37</v>
      </c>
      <c r="D46" s="56">
        <v>150</v>
      </c>
      <c r="E46" s="56">
        <v>38.1</v>
      </c>
      <c r="F46" s="56">
        <v>6</v>
      </c>
      <c r="G46" s="56" t="s">
        <v>78</v>
      </c>
      <c r="H46" s="79">
        <v>100</v>
      </c>
      <c r="I46" s="86">
        <v>11</v>
      </c>
      <c r="J46" s="94" t="s">
        <v>246</v>
      </c>
    </row>
    <row r="47" spans="1:10" ht="17" thickBot="1" x14ac:dyDescent="0.25">
      <c r="A47" s="56" t="s">
        <v>79</v>
      </c>
      <c r="B47" s="56" t="s">
        <v>13</v>
      </c>
      <c r="C47" s="56" t="s">
        <v>37</v>
      </c>
      <c r="D47" s="56">
        <v>150</v>
      </c>
      <c r="E47" s="56">
        <v>38.700000000000003</v>
      </c>
      <c r="F47" s="56">
        <v>6</v>
      </c>
      <c r="G47" s="56" t="s">
        <v>15</v>
      </c>
      <c r="H47" s="79">
        <v>100</v>
      </c>
      <c r="I47" s="86">
        <v>11</v>
      </c>
      <c r="J47" s="94" t="s">
        <v>246</v>
      </c>
    </row>
    <row r="48" spans="1:10" ht="17" thickBot="1" x14ac:dyDescent="0.25">
      <c r="A48" s="56" t="s">
        <v>80</v>
      </c>
      <c r="B48" s="56" t="s">
        <v>13</v>
      </c>
      <c r="C48" s="56" t="s">
        <v>37</v>
      </c>
      <c r="D48" s="56">
        <v>150</v>
      </c>
      <c r="E48" s="56">
        <v>38.4</v>
      </c>
      <c r="F48" s="56">
        <v>6</v>
      </c>
      <c r="G48" s="56" t="s">
        <v>54</v>
      </c>
      <c r="H48" s="79">
        <v>100</v>
      </c>
      <c r="I48" s="86">
        <v>11</v>
      </c>
      <c r="J48" s="94" t="s">
        <v>246</v>
      </c>
    </row>
    <row r="49" spans="1:11" ht="17" thickBot="1" x14ac:dyDescent="0.25">
      <c r="A49" s="57" t="s">
        <v>81</v>
      </c>
      <c r="B49" s="57" t="s">
        <v>13</v>
      </c>
      <c r="C49" s="57" t="s">
        <v>37</v>
      </c>
      <c r="D49" s="57">
        <v>150</v>
      </c>
      <c r="E49" s="57">
        <v>38.6</v>
      </c>
      <c r="F49" s="57">
        <v>6</v>
      </c>
      <c r="G49" s="57" t="s">
        <v>54</v>
      </c>
      <c r="H49" s="80">
        <v>100</v>
      </c>
      <c r="I49" s="87">
        <v>12</v>
      </c>
      <c r="J49" s="94" t="s">
        <v>246</v>
      </c>
    </row>
    <row r="50" spans="1:11" ht="17" thickBot="1" x14ac:dyDescent="0.25">
      <c r="A50" s="57" t="s">
        <v>82</v>
      </c>
      <c r="B50" s="57" t="s">
        <v>13</v>
      </c>
      <c r="C50" s="57" t="s">
        <v>37</v>
      </c>
      <c r="D50" s="57">
        <v>150</v>
      </c>
      <c r="E50" s="57">
        <v>37.299999999999997</v>
      </c>
      <c r="F50" s="57">
        <v>6</v>
      </c>
      <c r="G50" s="57" t="s">
        <v>54</v>
      </c>
      <c r="H50" s="80">
        <v>100</v>
      </c>
      <c r="I50" s="87">
        <v>12</v>
      </c>
      <c r="J50" s="94" t="s">
        <v>246</v>
      </c>
      <c r="K50" s="7" t="s">
        <v>83</v>
      </c>
    </row>
    <row r="51" spans="1:11" ht="17" thickBot="1" x14ac:dyDescent="0.25">
      <c r="A51" s="57" t="s">
        <v>84</v>
      </c>
      <c r="B51" s="57" t="s">
        <v>13</v>
      </c>
      <c r="C51" s="57" t="s">
        <v>37</v>
      </c>
      <c r="D51" s="57">
        <v>150</v>
      </c>
      <c r="E51" s="57">
        <v>37.4</v>
      </c>
      <c r="F51" s="57">
        <v>6</v>
      </c>
      <c r="G51" s="57" t="s">
        <v>54</v>
      </c>
      <c r="H51" s="80">
        <v>100</v>
      </c>
      <c r="I51" s="87">
        <v>12</v>
      </c>
      <c r="J51" s="94" t="s">
        <v>246</v>
      </c>
    </row>
    <row r="52" spans="1:11" ht="17" thickBot="1" x14ac:dyDescent="0.25">
      <c r="A52" s="57" t="s">
        <v>85</v>
      </c>
      <c r="B52" s="57" t="s">
        <v>13</v>
      </c>
      <c r="C52" s="57" t="s">
        <v>37</v>
      </c>
      <c r="D52" s="57">
        <v>150</v>
      </c>
      <c r="E52" s="57">
        <v>37.799999999999997</v>
      </c>
      <c r="F52" s="57">
        <v>6</v>
      </c>
      <c r="G52" s="57" t="s">
        <v>54</v>
      </c>
      <c r="H52" s="80">
        <v>100</v>
      </c>
      <c r="I52" s="87">
        <v>12</v>
      </c>
      <c r="J52" s="94" t="s">
        <v>246</v>
      </c>
    </row>
    <row r="53" spans="1:11" ht="17" thickBot="1" x14ac:dyDescent="0.25">
      <c r="A53" s="57" t="s">
        <v>86</v>
      </c>
      <c r="B53" s="57" t="s">
        <v>13</v>
      </c>
      <c r="C53" s="57" t="s">
        <v>37</v>
      </c>
      <c r="D53" s="57">
        <v>150</v>
      </c>
      <c r="E53" s="57">
        <v>37.700000000000003</v>
      </c>
      <c r="F53" s="57">
        <v>6</v>
      </c>
      <c r="G53" s="57" t="s">
        <v>54</v>
      </c>
      <c r="H53" s="80">
        <v>100</v>
      </c>
      <c r="I53" s="87">
        <v>12</v>
      </c>
      <c r="J53" s="94" t="s">
        <v>246</v>
      </c>
      <c r="K53" s="7" t="s">
        <v>83</v>
      </c>
    </row>
    <row r="54" spans="1:11" ht="17" thickBot="1" x14ac:dyDescent="0.25">
      <c r="A54" s="57" t="s">
        <v>87</v>
      </c>
      <c r="B54" s="57" t="s">
        <v>13</v>
      </c>
      <c r="C54" s="57" t="s">
        <v>37</v>
      </c>
      <c r="D54" s="57">
        <v>150</v>
      </c>
      <c r="E54" s="57">
        <v>37.31</v>
      </c>
      <c r="F54" s="57">
        <v>6</v>
      </c>
      <c r="G54" s="57" t="s">
        <v>58</v>
      </c>
      <c r="H54" s="80">
        <v>100</v>
      </c>
      <c r="I54" s="87">
        <v>12</v>
      </c>
      <c r="J54" s="94" t="s">
        <v>246</v>
      </c>
    </row>
    <row r="55" spans="1:11" ht="17" thickBot="1" x14ac:dyDescent="0.25">
      <c r="A55" s="57" t="s">
        <v>88</v>
      </c>
      <c r="B55" s="57" t="s">
        <v>13</v>
      </c>
      <c r="C55" s="57" t="s">
        <v>37</v>
      </c>
      <c r="D55" s="57">
        <v>150</v>
      </c>
      <c r="E55" s="57">
        <v>37.799999999999997</v>
      </c>
      <c r="F55" s="57">
        <v>6</v>
      </c>
      <c r="G55" s="57" t="s">
        <v>54</v>
      </c>
      <c r="H55" s="80">
        <v>100</v>
      </c>
      <c r="I55" s="87">
        <v>12</v>
      </c>
      <c r="J55" s="94" t="s">
        <v>246</v>
      </c>
      <c r="K55" s="7" t="s">
        <v>83</v>
      </c>
    </row>
    <row r="56" spans="1:11" ht="17" thickBot="1" x14ac:dyDescent="0.25">
      <c r="A56" s="57" t="s">
        <v>89</v>
      </c>
      <c r="B56" s="57" t="s">
        <v>13</v>
      </c>
      <c r="C56" s="57" t="s">
        <v>37</v>
      </c>
      <c r="D56" s="57">
        <v>150</v>
      </c>
      <c r="E56" s="57">
        <v>37.5</v>
      </c>
      <c r="F56" s="57">
        <v>6</v>
      </c>
      <c r="G56" s="57" t="s">
        <v>58</v>
      </c>
      <c r="H56" s="80">
        <v>100</v>
      </c>
      <c r="I56" s="87">
        <v>12</v>
      </c>
      <c r="J56" s="94" t="s">
        <v>246</v>
      </c>
    </row>
    <row r="57" spans="1:11" ht="17" thickBot="1" x14ac:dyDescent="0.25">
      <c r="A57" s="57" t="s">
        <v>90</v>
      </c>
      <c r="B57" s="57" t="s">
        <v>13</v>
      </c>
      <c r="C57" s="57" t="s">
        <v>37</v>
      </c>
      <c r="D57" s="57">
        <v>150</v>
      </c>
      <c r="E57" s="57">
        <v>37.369999999999997</v>
      </c>
      <c r="F57" s="57">
        <v>6</v>
      </c>
      <c r="G57" s="57" t="s">
        <v>61</v>
      </c>
      <c r="H57" s="80">
        <v>100</v>
      </c>
      <c r="I57" s="87">
        <v>12</v>
      </c>
      <c r="J57" s="94" t="s">
        <v>246</v>
      </c>
    </row>
    <row r="58" spans="1:11" ht="17" thickBot="1" x14ac:dyDescent="0.25">
      <c r="A58" s="57" t="s">
        <v>91</v>
      </c>
      <c r="B58" s="57" t="s">
        <v>13</v>
      </c>
      <c r="C58" s="57" t="s">
        <v>37</v>
      </c>
      <c r="D58" s="57">
        <v>150</v>
      </c>
      <c r="E58" s="57">
        <v>37.5</v>
      </c>
      <c r="F58" s="57">
        <v>6</v>
      </c>
      <c r="G58" s="57" t="s">
        <v>92</v>
      </c>
      <c r="H58" s="80">
        <v>100</v>
      </c>
      <c r="I58" s="87">
        <v>12</v>
      </c>
      <c r="J58" s="94" t="s">
        <v>246</v>
      </c>
    </row>
    <row r="59" spans="1:11" ht="17" thickBot="1" x14ac:dyDescent="0.25">
      <c r="A59" s="57" t="s">
        <v>93</v>
      </c>
      <c r="B59" s="57" t="s">
        <v>13</v>
      </c>
      <c r="C59" s="57" t="s">
        <v>37</v>
      </c>
      <c r="D59" s="57">
        <v>150</v>
      </c>
      <c r="E59" s="57">
        <v>37.4</v>
      </c>
      <c r="F59" s="57">
        <v>6</v>
      </c>
      <c r="G59" s="57" t="s">
        <v>94</v>
      </c>
      <c r="H59" s="80">
        <v>100</v>
      </c>
      <c r="I59" s="87">
        <v>12</v>
      </c>
      <c r="J59" s="94" t="s">
        <v>246</v>
      </c>
    </row>
    <row r="60" spans="1:11" ht="17" thickBot="1" x14ac:dyDescent="0.25">
      <c r="A60" s="57" t="s">
        <v>95</v>
      </c>
      <c r="B60" s="57" t="s">
        <v>13</v>
      </c>
      <c r="C60" s="57" t="s">
        <v>37</v>
      </c>
      <c r="D60" s="57">
        <v>150</v>
      </c>
      <c r="E60" s="57">
        <v>37.549999999999997</v>
      </c>
      <c r="F60" s="57">
        <v>6</v>
      </c>
      <c r="G60" s="57" t="s">
        <v>96</v>
      </c>
      <c r="H60" s="80">
        <v>100</v>
      </c>
      <c r="I60" s="87">
        <v>12</v>
      </c>
      <c r="J60" s="94" t="s">
        <v>246</v>
      </c>
    </row>
    <row r="61" spans="1:11" ht="17" thickBot="1" x14ac:dyDescent="0.25">
      <c r="A61" s="57" t="s">
        <v>97</v>
      </c>
      <c r="B61" s="57" t="s">
        <v>13</v>
      </c>
      <c r="C61" s="57" t="s">
        <v>37</v>
      </c>
      <c r="D61" s="57">
        <v>150</v>
      </c>
      <c r="E61" s="57">
        <v>37.5</v>
      </c>
      <c r="F61" s="57">
        <v>6</v>
      </c>
      <c r="G61" s="57" t="s">
        <v>98</v>
      </c>
      <c r="H61" s="80">
        <v>100</v>
      </c>
      <c r="I61" s="87">
        <v>12</v>
      </c>
      <c r="J61" s="94" t="s">
        <v>246</v>
      </c>
    </row>
    <row r="62" spans="1:11" ht="17" thickBot="1" x14ac:dyDescent="0.25">
      <c r="A62" s="57" t="s">
        <v>99</v>
      </c>
      <c r="B62" s="57" t="s">
        <v>13</v>
      </c>
      <c r="C62" s="57" t="s">
        <v>37</v>
      </c>
      <c r="D62" s="57">
        <v>150</v>
      </c>
      <c r="E62" s="57">
        <v>37.5</v>
      </c>
      <c r="F62" s="57">
        <v>6</v>
      </c>
      <c r="G62" s="57" t="s">
        <v>100</v>
      </c>
      <c r="H62" s="80">
        <v>100</v>
      </c>
      <c r="I62" s="87">
        <v>12</v>
      </c>
      <c r="J62" s="94" t="s">
        <v>246</v>
      </c>
    </row>
    <row r="63" spans="1:11" ht="17" thickBot="1" x14ac:dyDescent="0.25">
      <c r="A63" s="59" t="s">
        <v>101</v>
      </c>
      <c r="B63" s="59" t="s">
        <v>13</v>
      </c>
      <c r="C63" s="59" t="s">
        <v>37</v>
      </c>
      <c r="D63" s="59">
        <v>150</v>
      </c>
      <c r="E63" s="59">
        <v>37.369999999999997</v>
      </c>
      <c r="F63" s="59">
        <v>6</v>
      </c>
      <c r="G63" s="59" t="s">
        <v>102</v>
      </c>
      <c r="H63" s="81">
        <v>100</v>
      </c>
      <c r="I63" s="88">
        <v>13</v>
      </c>
      <c r="J63" s="94" t="s">
        <v>246</v>
      </c>
    </row>
    <row r="64" spans="1:11" ht="17" thickBot="1" x14ac:dyDescent="0.25">
      <c r="A64" s="59" t="s">
        <v>103</v>
      </c>
      <c r="B64" s="59" t="s">
        <v>13</v>
      </c>
      <c r="C64" s="59" t="s">
        <v>37</v>
      </c>
      <c r="D64" s="59">
        <v>150</v>
      </c>
      <c r="E64" s="59">
        <v>37.369999999999997</v>
      </c>
      <c r="F64" s="59">
        <v>6</v>
      </c>
      <c r="G64" s="59" t="s">
        <v>104</v>
      </c>
      <c r="H64" s="81">
        <v>100</v>
      </c>
      <c r="I64" s="88">
        <v>13</v>
      </c>
      <c r="J64" s="94" t="s">
        <v>246</v>
      </c>
    </row>
    <row r="65" spans="1:10" ht="17" thickBot="1" x14ac:dyDescent="0.25">
      <c r="A65" s="59" t="s">
        <v>105</v>
      </c>
      <c r="B65" s="59" t="s">
        <v>13</v>
      </c>
      <c r="C65" s="59" t="s">
        <v>106</v>
      </c>
      <c r="D65" s="59">
        <v>300</v>
      </c>
      <c r="E65" s="59">
        <v>37.700000000000003</v>
      </c>
      <c r="F65" s="59">
        <v>10</v>
      </c>
      <c r="G65" s="59" t="s">
        <v>104</v>
      </c>
      <c r="H65" s="81">
        <v>100</v>
      </c>
      <c r="I65" s="88">
        <v>13</v>
      </c>
      <c r="J65" s="94" t="s">
        <v>246</v>
      </c>
    </row>
    <row r="66" spans="1:10" ht="17" thickBot="1" x14ac:dyDescent="0.25">
      <c r="A66" s="59" t="s">
        <v>107</v>
      </c>
      <c r="B66" s="59" t="s">
        <v>13</v>
      </c>
      <c r="C66" s="59" t="s">
        <v>33</v>
      </c>
      <c r="D66" s="59">
        <v>300</v>
      </c>
      <c r="E66" s="59">
        <v>37.700000000000003</v>
      </c>
      <c r="F66" s="59">
        <v>10</v>
      </c>
      <c r="G66" s="59" t="s">
        <v>104</v>
      </c>
      <c r="H66" s="81">
        <v>100</v>
      </c>
      <c r="I66" s="88">
        <v>13</v>
      </c>
      <c r="J66" s="94" t="s">
        <v>246</v>
      </c>
    </row>
    <row r="67" spans="1:10" ht="17" thickBot="1" x14ac:dyDescent="0.25">
      <c r="A67" s="60" t="s">
        <v>108</v>
      </c>
      <c r="B67" s="60" t="s">
        <v>13</v>
      </c>
      <c r="C67" s="60" t="s">
        <v>109</v>
      </c>
      <c r="D67" s="60">
        <v>300</v>
      </c>
      <c r="E67" s="60">
        <v>37.700000000000003</v>
      </c>
      <c r="F67" s="60">
        <v>10</v>
      </c>
      <c r="G67" s="60" t="s">
        <v>104</v>
      </c>
      <c r="H67" s="81">
        <v>100</v>
      </c>
      <c r="I67" s="88">
        <v>13</v>
      </c>
      <c r="J67" s="94" t="s">
        <v>246</v>
      </c>
    </row>
    <row r="68" spans="1:10" ht="17" thickBot="1" x14ac:dyDescent="0.25">
      <c r="A68" s="95" t="s">
        <v>110</v>
      </c>
      <c r="B68" s="95" t="s">
        <v>13</v>
      </c>
      <c r="C68" s="95" t="s">
        <v>33</v>
      </c>
      <c r="D68" s="95">
        <v>300</v>
      </c>
      <c r="E68" s="95">
        <v>37.700000000000003</v>
      </c>
      <c r="F68" s="95">
        <v>10</v>
      </c>
      <c r="G68" s="95" t="s">
        <v>104</v>
      </c>
      <c r="H68" s="96">
        <v>100</v>
      </c>
      <c r="I68" s="88">
        <v>13</v>
      </c>
      <c r="J68" s="94" t="s">
        <v>246</v>
      </c>
    </row>
    <row r="69" spans="1:10" ht="17" thickBot="1" x14ac:dyDescent="0.25">
      <c r="A69" s="61" t="s">
        <v>111</v>
      </c>
      <c r="B69" s="61" t="s">
        <v>13</v>
      </c>
      <c r="C69" s="61" t="s">
        <v>106</v>
      </c>
      <c r="D69" s="61">
        <v>360</v>
      </c>
      <c r="E69" s="61">
        <v>37.700000000000003</v>
      </c>
      <c r="F69" s="61">
        <v>6</v>
      </c>
      <c r="G69" s="61" t="s">
        <v>104</v>
      </c>
      <c r="H69" s="82">
        <v>100</v>
      </c>
      <c r="I69" s="89">
        <v>15</v>
      </c>
      <c r="J69" s="94" t="s">
        <v>246</v>
      </c>
    </row>
    <row r="70" spans="1:10" ht="17" thickBot="1" x14ac:dyDescent="0.25">
      <c r="A70" s="61" t="s">
        <v>112</v>
      </c>
      <c r="B70" s="61" t="s">
        <v>13</v>
      </c>
      <c r="C70" s="61" t="s">
        <v>33</v>
      </c>
      <c r="D70" s="61">
        <v>360</v>
      </c>
      <c r="E70" s="61">
        <v>37.700000000000003</v>
      </c>
      <c r="F70" s="61">
        <v>6</v>
      </c>
      <c r="G70" s="61" t="s">
        <v>104</v>
      </c>
      <c r="H70" s="82">
        <v>100</v>
      </c>
      <c r="I70" s="89">
        <v>15</v>
      </c>
      <c r="J70" s="94" t="s">
        <v>246</v>
      </c>
    </row>
    <row r="71" spans="1:10" ht="17" thickBot="1" x14ac:dyDescent="0.25">
      <c r="A71" s="61" t="s">
        <v>113</v>
      </c>
      <c r="B71" s="61" t="s">
        <v>13</v>
      </c>
      <c r="C71" s="61" t="s">
        <v>114</v>
      </c>
      <c r="D71" s="61">
        <v>360</v>
      </c>
      <c r="E71" s="61">
        <v>37.700000000000003</v>
      </c>
      <c r="F71" s="61">
        <v>6</v>
      </c>
      <c r="G71" s="61" t="s">
        <v>104</v>
      </c>
      <c r="H71" s="82">
        <v>100</v>
      </c>
      <c r="I71" s="89">
        <v>15</v>
      </c>
      <c r="J71" s="94" t="s">
        <v>246</v>
      </c>
    </row>
    <row r="72" spans="1:10" ht="17" thickBot="1" x14ac:dyDescent="0.25">
      <c r="A72" s="61" t="s">
        <v>115</v>
      </c>
      <c r="B72" s="61" t="s">
        <v>13</v>
      </c>
      <c r="C72" s="61" t="s">
        <v>106</v>
      </c>
      <c r="D72" s="61">
        <v>300</v>
      </c>
      <c r="E72" s="61">
        <v>37.700000000000003</v>
      </c>
      <c r="F72" s="61">
        <v>3</v>
      </c>
      <c r="G72" s="61" t="s">
        <v>104</v>
      </c>
      <c r="H72" s="82">
        <v>100</v>
      </c>
      <c r="I72" s="89">
        <v>15</v>
      </c>
      <c r="J72" s="94" t="s">
        <v>246</v>
      </c>
    </row>
    <row r="73" spans="1:10" ht="17" thickBot="1" x14ac:dyDescent="0.25">
      <c r="A73" s="61" t="s">
        <v>116</v>
      </c>
      <c r="B73" s="61" t="s">
        <v>13</v>
      </c>
      <c r="C73" s="61" t="s">
        <v>33</v>
      </c>
      <c r="D73" s="61">
        <v>300</v>
      </c>
      <c r="E73" s="61">
        <v>37.700000000000003</v>
      </c>
      <c r="F73" s="61">
        <v>3</v>
      </c>
      <c r="G73" s="61" t="s">
        <v>104</v>
      </c>
      <c r="H73" s="82">
        <v>100</v>
      </c>
      <c r="I73" s="89">
        <v>15</v>
      </c>
      <c r="J73" s="94" t="s">
        <v>246</v>
      </c>
    </row>
    <row r="74" spans="1:10" ht="17" thickBot="1" x14ac:dyDescent="0.25">
      <c r="A74" s="61" t="s">
        <v>117</v>
      </c>
      <c r="B74" s="61" t="s">
        <v>13</v>
      </c>
      <c r="C74" s="61" t="s">
        <v>114</v>
      </c>
      <c r="D74" s="61">
        <v>300</v>
      </c>
      <c r="E74" s="61">
        <v>37.700000000000003</v>
      </c>
      <c r="F74" s="61">
        <v>3</v>
      </c>
      <c r="G74" s="61" t="s">
        <v>104</v>
      </c>
      <c r="H74" s="82">
        <v>100</v>
      </c>
      <c r="I74" s="89">
        <v>15</v>
      </c>
      <c r="J74" s="94" t="s">
        <v>246</v>
      </c>
    </row>
    <row r="75" spans="1:10" ht="17" thickBot="1" x14ac:dyDescent="0.25">
      <c r="A75" s="66" t="s">
        <v>118</v>
      </c>
      <c r="B75" s="66" t="s">
        <v>13</v>
      </c>
      <c r="C75" s="66" t="s">
        <v>33</v>
      </c>
      <c r="D75" s="66">
        <v>240</v>
      </c>
      <c r="E75" s="66">
        <v>37.700000000000003</v>
      </c>
      <c r="F75" s="66">
        <v>10</v>
      </c>
      <c r="G75" s="66" t="s">
        <v>104</v>
      </c>
      <c r="H75" s="98">
        <v>100</v>
      </c>
      <c r="I75" s="97">
        <v>17</v>
      </c>
      <c r="J75" s="94" t="s">
        <v>246</v>
      </c>
    </row>
    <row r="76" spans="1:10" ht="17" thickBot="1" x14ac:dyDescent="0.25">
      <c r="A76" s="66" t="s">
        <v>119</v>
      </c>
      <c r="B76" s="66" t="s">
        <v>13</v>
      </c>
      <c r="C76" s="66" t="s">
        <v>37</v>
      </c>
      <c r="D76" s="66">
        <v>240</v>
      </c>
      <c r="E76" s="66">
        <v>37.700000000000003</v>
      </c>
      <c r="F76" s="66">
        <v>10</v>
      </c>
      <c r="G76" s="66" t="s">
        <v>104</v>
      </c>
      <c r="H76" s="83">
        <v>100</v>
      </c>
      <c r="I76" s="90">
        <v>17</v>
      </c>
      <c r="J76" s="94" t="s">
        <v>246</v>
      </c>
    </row>
    <row r="77" spans="1:10" ht="17" thickBot="1" x14ac:dyDescent="0.25">
      <c r="A77" s="66" t="s">
        <v>120</v>
      </c>
      <c r="B77" s="66" t="s">
        <v>13</v>
      </c>
      <c r="C77" s="66" t="s">
        <v>37</v>
      </c>
      <c r="D77" s="66">
        <v>480</v>
      </c>
      <c r="E77" s="66">
        <v>37.700000000000003</v>
      </c>
      <c r="F77" s="66">
        <v>10</v>
      </c>
      <c r="G77" s="66" t="s">
        <v>104</v>
      </c>
      <c r="H77" s="83">
        <v>100</v>
      </c>
      <c r="I77" s="90">
        <v>17</v>
      </c>
      <c r="J77" s="94" t="s">
        <v>246</v>
      </c>
    </row>
    <row r="78" spans="1:10" ht="17" thickBot="1" x14ac:dyDescent="0.25">
      <c r="A78" s="66" t="s">
        <v>121</v>
      </c>
      <c r="B78" s="66" t="s">
        <v>13</v>
      </c>
      <c r="C78" s="66" t="s">
        <v>37</v>
      </c>
      <c r="D78" s="66">
        <v>150</v>
      </c>
      <c r="E78" s="66">
        <v>37.700000000000003</v>
      </c>
      <c r="F78" s="66">
        <v>3</v>
      </c>
      <c r="G78" s="66" t="s">
        <v>104</v>
      </c>
      <c r="H78" s="83">
        <v>100</v>
      </c>
      <c r="I78" s="90">
        <v>17</v>
      </c>
      <c r="J78" s="94" t="s">
        <v>246</v>
      </c>
    </row>
    <row r="79" spans="1:10" ht="17" thickBot="1" x14ac:dyDescent="0.25">
      <c r="A79" s="66" t="s">
        <v>122</v>
      </c>
      <c r="B79" s="66" t="s">
        <v>13</v>
      </c>
      <c r="C79" s="66" t="s">
        <v>37</v>
      </c>
      <c r="D79" s="66">
        <v>150</v>
      </c>
      <c r="E79" s="66">
        <v>37.700000000000003</v>
      </c>
      <c r="F79" s="66">
        <v>10</v>
      </c>
      <c r="G79" s="66" t="s">
        <v>104</v>
      </c>
      <c r="H79" s="83">
        <v>100</v>
      </c>
      <c r="I79" s="90">
        <v>17</v>
      </c>
      <c r="J79" s="94" t="s">
        <v>246</v>
      </c>
    </row>
    <row r="80" spans="1:10" ht="17" thickBot="1" x14ac:dyDescent="0.25">
      <c r="A80" s="66" t="s">
        <v>123</v>
      </c>
      <c r="B80" s="66" t="s">
        <v>13</v>
      </c>
      <c r="C80" s="66" t="s">
        <v>124</v>
      </c>
      <c r="D80" s="66">
        <v>150</v>
      </c>
      <c r="E80" s="66">
        <v>37.700000000000003</v>
      </c>
      <c r="F80" s="66">
        <v>6</v>
      </c>
      <c r="G80" s="66" t="s">
        <v>104</v>
      </c>
      <c r="H80" s="83">
        <v>100</v>
      </c>
      <c r="I80" s="90">
        <v>17</v>
      </c>
      <c r="J80" s="94" t="s">
        <v>246</v>
      </c>
    </row>
    <row r="81" spans="1:11" ht="17" thickBot="1" x14ac:dyDescent="0.25">
      <c r="A81" s="66" t="s">
        <v>125</v>
      </c>
      <c r="B81" s="66" t="s">
        <v>13</v>
      </c>
      <c r="C81" s="66" t="s">
        <v>124</v>
      </c>
      <c r="D81" s="66">
        <v>180</v>
      </c>
      <c r="E81" s="66">
        <v>37.700000000000003</v>
      </c>
      <c r="F81" s="66">
        <v>6</v>
      </c>
      <c r="G81" s="66" t="s">
        <v>104</v>
      </c>
      <c r="H81" s="83">
        <v>100</v>
      </c>
      <c r="I81" s="90">
        <v>17</v>
      </c>
      <c r="J81" s="94" t="s">
        <v>246</v>
      </c>
    </row>
    <row r="82" spans="1:11" ht="17" thickBot="1" x14ac:dyDescent="0.25">
      <c r="A82" s="66" t="s">
        <v>126</v>
      </c>
      <c r="B82" s="66" t="s">
        <v>13</v>
      </c>
      <c r="C82" s="66" t="s">
        <v>124</v>
      </c>
      <c r="D82" s="66">
        <v>233</v>
      </c>
      <c r="E82" s="66">
        <v>37.700000000000003</v>
      </c>
      <c r="F82" s="66">
        <v>6</v>
      </c>
      <c r="G82" s="66" t="s">
        <v>104</v>
      </c>
      <c r="H82" s="83">
        <v>100</v>
      </c>
      <c r="I82" s="90">
        <v>17</v>
      </c>
      <c r="J82" s="94" t="s">
        <v>246</v>
      </c>
    </row>
    <row r="83" spans="1:11" ht="17" thickBot="1" x14ac:dyDescent="0.25">
      <c r="A83" s="61" t="s">
        <v>127</v>
      </c>
      <c r="B83" s="61" t="s">
        <v>13</v>
      </c>
      <c r="C83" s="61" t="s">
        <v>124</v>
      </c>
      <c r="D83" s="61">
        <v>195</v>
      </c>
      <c r="E83" s="61">
        <v>38</v>
      </c>
      <c r="F83" s="61">
        <v>9</v>
      </c>
      <c r="G83" s="61" t="s">
        <v>128</v>
      </c>
      <c r="H83" s="82">
        <v>100</v>
      </c>
      <c r="I83" s="89">
        <v>18</v>
      </c>
      <c r="J83" s="94" t="s">
        <v>246</v>
      </c>
    </row>
    <row r="84" spans="1:11" ht="17" thickBot="1" x14ac:dyDescent="0.25">
      <c r="A84" s="61" t="s">
        <v>235</v>
      </c>
      <c r="B84" s="61" t="s">
        <v>13</v>
      </c>
      <c r="C84" s="61" t="s">
        <v>37</v>
      </c>
      <c r="D84" s="61">
        <v>120</v>
      </c>
      <c r="E84" s="61">
        <v>37.369999999999997</v>
      </c>
      <c r="F84" s="61">
        <v>9</v>
      </c>
      <c r="G84" s="61" t="s">
        <v>128</v>
      </c>
      <c r="H84" s="82">
        <v>100</v>
      </c>
      <c r="I84" s="89">
        <v>18</v>
      </c>
      <c r="J84" s="94" t="s">
        <v>246</v>
      </c>
    </row>
    <row r="85" spans="1:11" ht="17" thickBot="1" x14ac:dyDescent="0.25">
      <c r="A85" s="61" t="s">
        <v>236</v>
      </c>
      <c r="B85" s="61" t="s">
        <v>13</v>
      </c>
      <c r="C85" s="61" t="s">
        <v>37</v>
      </c>
      <c r="D85" s="61">
        <v>225</v>
      </c>
      <c r="E85" s="61">
        <v>37.369999999999997</v>
      </c>
      <c r="F85" s="61">
        <v>6</v>
      </c>
      <c r="G85" s="61" t="s">
        <v>104</v>
      </c>
      <c r="H85" s="82">
        <v>80</v>
      </c>
      <c r="I85" s="89">
        <v>18</v>
      </c>
      <c r="J85" s="94" t="s">
        <v>246</v>
      </c>
    </row>
    <row r="86" spans="1:11" ht="17" thickBot="1" x14ac:dyDescent="0.25">
      <c r="A86" s="61" t="s">
        <v>237</v>
      </c>
      <c r="B86" s="61" t="s">
        <v>13</v>
      </c>
      <c r="C86" s="61" t="s">
        <v>37</v>
      </c>
      <c r="D86" s="61">
        <v>250</v>
      </c>
      <c r="E86" s="61">
        <v>37.369999999999997</v>
      </c>
      <c r="F86" s="61">
        <v>6</v>
      </c>
      <c r="G86" s="61" t="s">
        <v>104</v>
      </c>
      <c r="H86" s="82">
        <v>60</v>
      </c>
      <c r="I86" s="89">
        <v>18</v>
      </c>
      <c r="J86" s="94" t="s">
        <v>246</v>
      </c>
    </row>
    <row r="87" spans="1:11" ht="17" thickBot="1" x14ac:dyDescent="0.25">
      <c r="A87" s="67" t="s">
        <v>238</v>
      </c>
      <c r="B87" s="67" t="s">
        <v>13</v>
      </c>
      <c r="C87" s="68" t="s">
        <v>33</v>
      </c>
      <c r="D87" s="67">
        <v>120</v>
      </c>
      <c r="E87" s="67">
        <v>33.32</v>
      </c>
      <c r="F87" s="67">
        <v>3</v>
      </c>
      <c r="G87" s="67" t="s">
        <v>104</v>
      </c>
      <c r="H87" s="80">
        <v>80</v>
      </c>
      <c r="I87" s="87">
        <v>19</v>
      </c>
      <c r="J87" s="94" t="s">
        <v>246</v>
      </c>
    </row>
    <row r="88" spans="1:11" ht="17" thickBot="1" x14ac:dyDescent="0.25">
      <c r="A88" s="67" t="s">
        <v>239</v>
      </c>
      <c r="B88" s="67" t="s">
        <v>13</v>
      </c>
      <c r="C88" s="68" t="s">
        <v>33</v>
      </c>
      <c r="D88" s="67">
        <v>240</v>
      </c>
      <c r="E88" s="67">
        <v>37.369999999999997</v>
      </c>
      <c r="F88" s="67">
        <v>6</v>
      </c>
      <c r="G88" s="67" t="s">
        <v>104</v>
      </c>
      <c r="H88" s="80">
        <v>80</v>
      </c>
      <c r="I88" s="87">
        <v>19</v>
      </c>
      <c r="J88" s="94" t="s">
        <v>246</v>
      </c>
    </row>
    <row r="89" spans="1:11" ht="17" thickBot="1" x14ac:dyDescent="0.25">
      <c r="A89" s="67" t="s">
        <v>240</v>
      </c>
      <c r="B89" s="67" t="s">
        <v>13</v>
      </c>
      <c r="C89" s="68" t="s">
        <v>33</v>
      </c>
      <c r="D89" s="58">
        <v>150</v>
      </c>
      <c r="E89" s="58">
        <v>37.369999999999997</v>
      </c>
      <c r="F89" s="58">
        <v>2</v>
      </c>
      <c r="G89" s="58" t="s">
        <v>104</v>
      </c>
      <c r="H89" s="80">
        <v>60</v>
      </c>
      <c r="I89" s="87">
        <v>19</v>
      </c>
      <c r="J89" s="94" t="s">
        <v>246</v>
      </c>
    </row>
    <row r="90" spans="1:11" ht="17" thickBot="1" x14ac:dyDescent="0.25">
      <c r="A90" s="67" t="s">
        <v>242</v>
      </c>
      <c r="B90" s="67" t="s">
        <v>13</v>
      </c>
      <c r="C90" s="68" t="s">
        <v>37</v>
      </c>
      <c r="D90" s="58">
        <v>185</v>
      </c>
      <c r="E90" s="58">
        <v>37.369999999999997</v>
      </c>
      <c r="F90" s="58">
        <v>6</v>
      </c>
      <c r="G90" s="67" t="s">
        <v>128</v>
      </c>
      <c r="H90" s="80">
        <v>100</v>
      </c>
      <c r="I90" s="87">
        <v>19</v>
      </c>
      <c r="J90" s="94" t="s">
        <v>246</v>
      </c>
      <c r="K90" s="51"/>
    </row>
    <row r="91" spans="1:11" ht="17" thickBot="1" x14ac:dyDescent="0.25">
      <c r="A91" s="67" t="s">
        <v>243</v>
      </c>
      <c r="B91" s="67" t="s">
        <v>13</v>
      </c>
      <c r="C91" s="68" t="s">
        <v>33</v>
      </c>
      <c r="D91" s="58">
        <v>280</v>
      </c>
      <c r="E91" s="58">
        <v>37.5</v>
      </c>
      <c r="F91" s="58">
        <v>10</v>
      </c>
      <c r="G91" s="67" t="s">
        <v>128</v>
      </c>
      <c r="H91" s="80">
        <v>100</v>
      </c>
      <c r="I91" s="87">
        <v>19</v>
      </c>
      <c r="J91" s="94" t="s">
        <v>246</v>
      </c>
    </row>
    <row r="92" spans="1:11" ht="17" thickBot="1" x14ac:dyDescent="0.25">
      <c r="A92" s="67" t="s">
        <v>247</v>
      </c>
      <c r="B92" s="67" t="s">
        <v>13</v>
      </c>
      <c r="C92" s="68" t="s">
        <v>37</v>
      </c>
      <c r="D92" s="58">
        <v>150</v>
      </c>
      <c r="E92" s="58">
        <v>37.840000000000003</v>
      </c>
      <c r="F92" s="58">
        <v>6</v>
      </c>
      <c r="G92" s="67" t="s">
        <v>102</v>
      </c>
      <c r="H92" s="80">
        <v>100</v>
      </c>
      <c r="I92" s="87">
        <v>19</v>
      </c>
      <c r="J92" s="94" t="s">
        <v>246</v>
      </c>
    </row>
    <row r="93" spans="1:11" ht="17" thickBot="1" x14ac:dyDescent="0.25">
      <c r="A93" s="67" t="s">
        <v>248</v>
      </c>
      <c r="B93" s="67" t="s">
        <v>13</v>
      </c>
      <c r="C93" s="68" t="s">
        <v>37</v>
      </c>
      <c r="D93" s="58">
        <v>150</v>
      </c>
      <c r="E93" s="58">
        <v>37.93</v>
      </c>
      <c r="F93" s="58">
        <v>6</v>
      </c>
      <c r="G93" s="67" t="s">
        <v>104</v>
      </c>
      <c r="H93" s="80">
        <v>100</v>
      </c>
      <c r="I93" s="87">
        <v>19</v>
      </c>
      <c r="J93" s="94" t="s">
        <v>246</v>
      </c>
    </row>
    <row r="94" spans="1:11" ht="17" thickBot="1" x14ac:dyDescent="0.25">
      <c r="A94" s="67" t="s">
        <v>249</v>
      </c>
      <c r="B94" s="67" t="s">
        <v>13</v>
      </c>
      <c r="C94" s="68" t="s">
        <v>37</v>
      </c>
      <c r="D94" s="58">
        <v>150</v>
      </c>
      <c r="E94" s="58">
        <v>37.93</v>
      </c>
      <c r="F94" s="58">
        <v>6</v>
      </c>
      <c r="G94" s="67" t="s">
        <v>104</v>
      </c>
      <c r="H94" s="80">
        <v>80</v>
      </c>
      <c r="I94" s="87">
        <v>19</v>
      </c>
      <c r="J94" s="94" t="s">
        <v>246</v>
      </c>
    </row>
    <row r="95" spans="1:11" ht="17" thickBot="1" x14ac:dyDescent="0.25">
      <c r="A95" s="67" t="s">
        <v>250</v>
      </c>
      <c r="B95" s="67" t="s">
        <v>13</v>
      </c>
      <c r="C95" s="68" t="s">
        <v>37</v>
      </c>
      <c r="D95" s="58">
        <v>150</v>
      </c>
      <c r="E95" s="58">
        <v>37.85</v>
      </c>
      <c r="F95" s="58">
        <v>6</v>
      </c>
      <c r="G95" s="67" t="s">
        <v>104</v>
      </c>
      <c r="H95" s="80">
        <v>100</v>
      </c>
      <c r="I95" s="87">
        <v>19</v>
      </c>
      <c r="J95" s="94" t="s">
        <v>246</v>
      </c>
    </row>
    <row r="96" spans="1:11" ht="17" thickBot="1" x14ac:dyDescent="0.25">
      <c r="A96" s="67" t="s">
        <v>251</v>
      </c>
      <c r="B96" s="67" t="s">
        <v>13</v>
      </c>
      <c r="C96" s="68" t="s">
        <v>37</v>
      </c>
      <c r="D96" s="58">
        <v>150</v>
      </c>
      <c r="E96" s="58">
        <v>38.1</v>
      </c>
      <c r="F96" s="58">
        <v>6</v>
      </c>
      <c r="G96" s="67" t="s">
        <v>104</v>
      </c>
      <c r="H96" s="80">
        <v>100</v>
      </c>
      <c r="I96" s="87">
        <v>19</v>
      </c>
      <c r="J96" s="94" t="s">
        <v>246</v>
      </c>
    </row>
    <row r="97" spans="1:10" ht="17" thickBot="1" x14ac:dyDescent="0.25">
      <c r="A97" s="67" t="s">
        <v>252</v>
      </c>
      <c r="B97" s="67" t="s">
        <v>13</v>
      </c>
      <c r="C97" s="68" t="s">
        <v>37</v>
      </c>
      <c r="D97" s="58">
        <v>150</v>
      </c>
      <c r="E97" s="58">
        <v>38.130000000000003</v>
      </c>
      <c r="F97" s="58">
        <v>6</v>
      </c>
      <c r="G97" s="67" t="s">
        <v>104</v>
      </c>
      <c r="H97" s="80">
        <v>100</v>
      </c>
      <c r="I97" s="87">
        <v>19</v>
      </c>
      <c r="J97" s="94" t="s">
        <v>246</v>
      </c>
    </row>
    <row r="98" spans="1:10" ht="17" thickBot="1" x14ac:dyDescent="0.25">
      <c r="A98" s="67" t="s">
        <v>253</v>
      </c>
      <c r="B98" s="67" t="s">
        <v>13</v>
      </c>
      <c r="C98" s="68" t="s">
        <v>37</v>
      </c>
      <c r="D98" s="58">
        <v>150</v>
      </c>
      <c r="E98" s="58">
        <v>38.1</v>
      </c>
      <c r="F98" s="58">
        <v>6</v>
      </c>
      <c r="G98" s="67" t="s">
        <v>104</v>
      </c>
      <c r="H98" s="80">
        <v>100</v>
      </c>
      <c r="I98" s="87">
        <v>19</v>
      </c>
      <c r="J98" s="94" t="s">
        <v>246</v>
      </c>
    </row>
    <row r="99" spans="1:10" ht="17" thickBot="1" x14ac:dyDescent="0.25">
      <c r="A99" s="67" t="s">
        <v>254</v>
      </c>
      <c r="B99" s="67" t="s">
        <v>13</v>
      </c>
      <c r="C99" s="68" t="s">
        <v>37</v>
      </c>
      <c r="D99" s="58">
        <v>150</v>
      </c>
      <c r="E99" s="58">
        <v>38.24</v>
      </c>
      <c r="F99" s="58">
        <v>6</v>
      </c>
      <c r="G99" s="67" t="s">
        <v>104</v>
      </c>
      <c r="H99" s="80">
        <v>100</v>
      </c>
      <c r="I99" s="87">
        <v>19</v>
      </c>
      <c r="J99" s="94" t="s">
        <v>246</v>
      </c>
    </row>
    <row r="100" spans="1:10" ht="17" thickBot="1" x14ac:dyDescent="0.25">
      <c r="A100" s="67" t="s">
        <v>255</v>
      </c>
      <c r="B100" s="67" t="s">
        <v>13</v>
      </c>
      <c r="C100" s="68" t="s">
        <v>37</v>
      </c>
      <c r="D100" s="58">
        <v>150</v>
      </c>
      <c r="E100" s="58">
        <v>37.94</v>
      </c>
      <c r="F100" s="58">
        <v>6</v>
      </c>
      <c r="G100" s="67" t="s">
        <v>104</v>
      </c>
      <c r="H100" s="80">
        <v>100</v>
      </c>
      <c r="I100" s="87">
        <v>19</v>
      </c>
      <c r="J100" s="94" t="s">
        <v>246</v>
      </c>
    </row>
    <row r="101" spans="1:10" ht="17" thickBot="1" x14ac:dyDescent="0.25">
      <c r="A101" s="67" t="s">
        <v>256</v>
      </c>
      <c r="B101" s="67" t="s">
        <v>13</v>
      </c>
      <c r="C101" s="68" t="s">
        <v>37</v>
      </c>
      <c r="D101" s="58">
        <v>150</v>
      </c>
      <c r="E101" s="58">
        <v>37.92</v>
      </c>
      <c r="F101" s="58">
        <v>6</v>
      </c>
      <c r="G101" s="67" t="s">
        <v>104</v>
      </c>
      <c r="H101" s="80">
        <v>100</v>
      </c>
      <c r="I101" s="87">
        <v>19</v>
      </c>
      <c r="J101" s="94" t="s">
        <v>246</v>
      </c>
    </row>
    <row r="102" spans="1:10" ht="17" thickBot="1" x14ac:dyDescent="0.25">
      <c r="A102" s="67" t="s">
        <v>257</v>
      </c>
      <c r="B102" s="67" t="s">
        <v>13</v>
      </c>
      <c r="C102" s="68" t="s">
        <v>37</v>
      </c>
      <c r="D102" s="58">
        <v>150</v>
      </c>
      <c r="E102" s="58">
        <v>38.11</v>
      </c>
      <c r="F102" s="58">
        <v>6</v>
      </c>
      <c r="G102" s="67" t="s">
        <v>104</v>
      </c>
      <c r="H102" s="80">
        <v>100</v>
      </c>
      <c r="I102" s="87">
        <v>19</v>
      </c>
      <c r="J102" s="94" t="s">
        <v>246</v>
      </c>
    </row>
    <row r="103" spans="1:10" ht="17" thickBot="1" x14ac:dyDescent="0.25">
      <c r="A103" s="67" t="s">
        <v>258</v>
      </c>
      <c r="B103" s="67" t="s">
        <v>13</v>
      </c>
      <c r="C103" s="68" t="s">
        <v>37</v>
      </c>
      <c r="D103" s="58">
        <v>150</v>
      </c>
      <c r="E103" s="58">
        <v>38.4</v>
      </c>
      <c r="F103" s="58">
        <v>6</v>
      </c>
      <c r="G103" s="67" t="s">
        <v>128</v>
      </c>
      <c r="H103" s="80">
        <v>100</v>
      </c>
      <c r="I103" s="87">
        <v>19</v>
      </c>
      <c r="J103" s="94" t="s">
        <v>246</v>
      </c>
    </row>
    <row r="104" spans="1:10" ht="17" thickBot="1" x14ac:dyDescent="0.25">
      <c r="A104" s="67" t="s">
        <v>259</v>
      </c>
      <c r="B104" s="67" t="s">
        <v>13</v>
      </c>
      <c r="C104" s="68" t="s">
        <v>37</v>
      </c>
      <c r="D104" s="58">
        <v>150</v>
      </c>
      <c r="E104" s="58">
        <v>38.5</v>
      </c>
      <c r="F104" s="58">
        <v>6</v>
      </c>
      <c r="G104" s="67" t="s">
        <v>104</v>
      </c>
      <c r="H104" s="80">
        <v>100</v>
      </c>
      <c r="I104" s="87">
        <v>19</v>
      </c>
      <c r="J104" s="94" t="s">
        <v>246</v>
      </c>
    </row>
    <row r="105" spans="1:10" ht="17" thickBot="1" x14ac:dyDescent="0.25">
      <c r="A105" s="67" t="s">
        <v>260</v>
      </c>
      <c r="B105" s="67" t="s">
        <v>13</v>
      </c>
      <c r="C105" s="68" t="s">
        <v>37</v>
      </c>
      <c r="D105" s="58">
        <v>180</v>
      </c>
      <c r="E105" s="58">
        <v>37.9</v>
      </c>
      <c r="F105" s="58">
        <v>6</v>
      </c>
      <c r="G105" s="67" t="s">
        <v>104</v>
      </c>
      <c r="H105" s="80">
        <v>100</v>
      </c>
      <c r="I105" s="87">
        <v>19</v>
      </c>
      <c r="J105" s="94" t="s">
        <v>246</v>
      </c>
    </row>
    <row r="106" spans="1:10" ht="17" thickBot="1" x14ac:dyDescent="0.25">
      <c r="A106" s="67" t="s">
        <v>261</v>
      </c>
      <c r="B106" s="67" t="s">
        <v>13</v>
      </c>
      <c r="C106" s="68" t="s">
        <v>37</v>
      </c>
      <c r="D106" s="58">
        <v>120</v>
      </c>
      <c r="E106" s="58">
        <v>34.04</v>
      </c>
      <c r="F106" s="58">
        <v>3</v>
      </c>
      <c r="G106" s="67" t="s">
        <v>104</v>
      </c>
      <c r="H106" s="80">
        <v>80</v>
      </c>
      <c r="I106" s="87">
        <v>19</v>
      </c>
      <c r="J106" s="94" t="s">
        <v>246</v>
      </c>
    </row>
  </sheetData>
  <autoFilter ref="A1:O106" xr:uid="{F973DEC8-907F-9447-8D48-C7923336BC4B}">
    <filterColumn colId="9">
      <filters>
        <filter val="да"/>
      </filters>
    </filterColumn>
  </autoFilter>
  <phoneticPr fontId="1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2B2A-29AD-D345-89D8-C35984BDBB1A}">
  <dimension ref="A1:S74"/>
  <sheetViews>
    <sheetView workbookViewId="0">
      <selection activeCell="H2" sqref="H2:H15"/>
    </sheetView>
  </sheetViews>
  <sheetFormatPr baseColWidth="10" defaultRowHeight="16" x14ac:dyDescent="0.2"/>
  <sheetData>
    <row r="1" spans="1:1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0"/>
      <c r="O1" s="10"/>
      <c r="P1" s="10"/>
      <c r="Q1" s="10"/>
      <c r="R1" s="10"/>
      <c r="S1" s="10"/>
    </row>
    <row r="2" spans="1:19" ht="51" x14ac:dyDescent="0.2">
      <c r="A2" s="11">
        <v>2251</v>
      </c>
      <c r="B2" s="11" t="s">
        <v>129</v>
      </c>
      <c r="C2" s="11" t="s">
        <v>130</v>
      </c>
      <c r="D2" s="11">
        <v>160</v>
      </c>
      <c r="E2" s="11">
        <v>30</v>
      </c>
      <c r="F2" s="11">
        <v>2</v>
      </c>
      <c r="G2" s="11" t="s">
        <v>73</v>
      </c>
      <c r="H2" s="11">
        <v>100</v>
      </c>
      <c r="I2" s="2"/>
      <c r="J2" s="12"/>
      <c r="K2" s="12"/>
      <c r="L2" s="12"/>
      <c r="M2" s="10"/>
      <c r="N2" s="10"/>
      <c r="O2" s="10"/>
      <c r="P2" s="10"/>
      <c r="Q2" s="10"/>
      <c r="R2" s="10"/>
      <c r="S2" s="10"/>
    </row>
    <row r="3" spans="1:19" ht="34" x14ac:dyDescent="0.2">
      <c r="A3" s="11">
        <v>2269</v>
      </c>
      <c r="B3" s="11" t="s">
        <v>129</v>
      </c>
      <c r="C3" s="11" t="s">
        <v>22</v>
      </c>
      <c r="D3" s="11">
        <v>1</v>
      </c>
      <c r="E3" s="11">
        <v>36</v>
      </c>
      <c r="F3" s="11">
        <v>10</v>
      </c>
      <c r="G3" s="11" t="s">
        <v>73</v>
      </c>
      <c r="H3" s="11">
        <v>100</v>
      </c>
      <c r="I3" s="13"/>
      <c r="J3" s="13"/>
      <c r="K3" s="13"/>
      <c r="L3" s="12"/>
      <c r="M3" s="10"/>
      <c r="N3" s="10"/>
      <c r="O3" s="10"/>
      <c r="P3" s="10"/>
      <c r="Q3" s="10"/>
      <c r="R3" s="10"/>
      <c r="S3" s="10"/>
    </row>
    <row r="4" spans="1:19" ht="34" x14ac:dyDescent="0.2">
      <c r="A4" s="11">
        <v>2270</v>
      </c>
      <c r="B4" s="11" t="s">
        <v>129</v>
      </c>
      <c r="C4" s="11" t="s">
        <v>22</v>
      </c>
      <c r="D4" s="11">
        <v>1</v>
      </c>
      <c r="E4" s="11">
        <v>32</v>
      </c>
      <c r="F4" s="11">
        <v>10</v>
      </c>
      <c r="G4" s="11" t="s">
        <v>73</v>
      </c>
      <c r="H4" s="11">
        <v>100</v>
      </c>
      <c r="I4" s="13"/>
      <c r="J4" s="13"/>
      <c r="K4" s="13"/>
      <c r="L4" s="12"/>
      <c r="M4" s="10"/>
      <c r="N4" s="10"/>
      <c r="O4" s="10"/>
      <c r="P4" s="10"/>
      <c r="Q4" s="10"/>
      <c r="R4" s="10"/>
      <c r="S4" s="10"/>
    </row>
    <row r="5" spans="1:19" ht="34" x14ac:dyDescent="0.2">
      <c r="A5" s="11">
        <v>2271</v>
      </c>
      <c r="B5" s="11" t="s">
        <v>129</v>
      </c>
      <c r="C5" s="11" t="s">
        <v>22</v>
      </c>
      <c r="D5" s="11">
        <v>1</v>
      </c>
      <c r="E5" s="11">
        <v>28</v>
      </c>
      <c r="F5" s="11">
        <v>10</v>
      </c>
      <c r="G5" s="11" t="s">
        <v>73</v>
      </c>
      <c r="H5" s="11">
        <v>100</v>
      </c>
      <c r="I5" s="13"/>
      <c r="J5" s="13"/>
      <c r="K5" s="13"/>
      <c r="L5" s="12"/>
      <c r="M5" s="10"/>
      <c r="N5" s="10"/>
      <c r="O5" s="10"/>
      <c r="P5" s="10"/>
      <c r="Q5" s="10"/>
      <c r="R5" s="10"/>
      <c r="S5" s="10"/>
    </row>
    <row r="6" spans="1:19" ht="34" x14ac:dyDescent="0.2">
      <c r="A6" s="11">
        <v>2272</v>
      </c>
      <c r="B6" s="11" t="s">
        <v>129</v>
      </c>
      <c r="C6" s="11" t="s">
        <v>106</v>
      </c>
      <c r="D6" s="11">
        <v>1</v>
      </c>
      <c r="E6" s="11">
        <v>2</v>
      </c>
      <c r="F6" s="11">
        <v>60</v>
      </c>
      <c r="G6" s="11" t="s">
        <v>73</v>
      </c>
      <c r="H6" s="11">
        <v>100</v>
      </c>
      <c r="I6" s="13"/>
      <c r="J6" s="13"/>
      <c r="K6" s="13"/>
      <c r="L6" s="12"/>
      <c r="M6" s="10"/>
      <c r="N6" s="10"/>
      <c r="O6" s="10"/>
      <c r="P6" s="10"/>
      <c r="Q6" s="10"/>
      <c r="R6" s="10"/>
      <c r="S6" s="10"/>
    </row>
    <row r="7" spans="1:19" ht="34" x14ac:dyDescent="0.2">
      <c r="A7" s="11">
        <v>2273</v>
      </c>
      <c r="B7" s="11" t="s">
        <v>129</v>
      </c>
      <c r="C7" s="11" t="s">
        <v>106</v>
      </c>
      <c r="D7" s="11">
        <v>1</v>
      </c>
      <c r="E7" s="11">
        <v>2</v>
      </c>
      <c r="F7" s="11">
        <v>2</v>
      </c>
      <c r="G7" s="11" t="s">
        <v>73</v>
      </c>
      <c r="H7" s="11">
        <v>100</v>
      </c>
      <c r="I7" s="13"/>
      <c r="J7" s="13"/>
      <c r="K7" s="13"/>
      <c r="L7" s="12"/>
      <c r="M7" s="10"/>
      <c r="N7" s="10"/>
      <c r="O7" s="10"/>
      <c r="P7" s="10"/>
      <c r="Q7" s="10"/>
      <c r="R7" s="10"/>
      <c r="S7" s="10"/>
    </row>
    <row r="8" spans="1:19" ht="34" x14ac:dyDescent="0.2">
      <c r="A8" s="11">
        <v>2290</v>
      </c>
      <c r="B8" s="11" t="s">
        <v>129</v>
      </c>
      <c r="C8" s="11" t="s">
        <v>131</v>
      </c>
      <c r="D8" s="11">
        <v>180</v>
      </c>
      <c r="E8" s="11">
        <v>29</v>
      </c>
      <c r="F8" s="11">
        <v>2</v>
      </c>
      <c r="G8" s="11" t="s">
        <v>73</v>
      </c>
      <c r="H8" s="11">
        <v>100</v>
      </c>
      <c r="I8" s="12"/>
      <c r="J8" s="12"/>
      <c r="K8" s="12"/>
      <c r="L8" s="12"/>
      <c r="M8" s="10"/>
      <c r="N8" s="10"/>
      <c r="O8" s="10"/>
      <c r="P8" s="10"/>
      <c r="Q8" s="10"/>
      <c r="R8" s="10"/>
      <c r="S8" s="10"/>
    </row>
    <row r="9" spans="1:19" ht="34" x14ac:dyDescent="0.2">
      <c r="A9" s="11">
        <v>2291</v>
      </c>
      <c r="B9" s="11" t="s">
        <v>129</v>
      </c>
      <c r="C9" s="11" t="s">
        <v>131</v>
      </c>
      <c r="D9" s="11">
        <v>180</v>
      </c>
      <c r="E9" s="11">
        <v>28</v>
      </c>
      <c r="F9" s="11">
        <v>2</v>
      </c>
      <c r="G9" s="11" t="s">
        <v>73</v>
      </c>
      <c r="H9" s="11">
        <v>100</v>
      </c>
      <c r="I9" s="2"/>
      <c r="J9" s="12"/>
      <c r="K9" s="12"/>
      <c r="L9" s="12"/>
      <c r="M9" s="10"/>
      <c r="N9" s="10"/>
      <c r="O9" s="10"/>
      <c r="P9" s="10"/>
      <c r="Q9" s="10"/>
      <c r="R9" s="10"/>
      <c r="S9" s="10"/>
    </row>
    <row r="10" spans="1:19" ht="34" x14ac:dyDescent="0.2">
      <c r="A10" s="11">
        <v>2292</v>
      </c>
      <c r="B10" s="11" t="s">
        <v>129</v>
      </c>
      <c r="C10" s="11" t="s">
        <v>131</v>
      </c>
      <c r="D10" s="11">
        <v>180</v>
      </c>
      <c r="E10" s="11">
        <v>32</v>
      </c>
      <c r="F10" s="11">
        <v>2</v>
      </c>
      <c r="G10" s="11" t="s">
        <v>73</v>
      </c>
      <c r="H10" s="11">
        <v>100</v>
      </c>
      <c r="I10" s="2"/>
      <c r="J10" s="12"/>
      <c r="K10" s="12"/>
      <c r="L10" s="12"/>
      <c r="M10" s="10"/>
      <c r="N10" s="10"/>
      <c r="O10" s="10"/>
      <c r="P10" s="10"/>
      <c r="Q10" s="10"/>
      <c r="R10" s="10"/>
      <c r="S10" s="10"/>
    </row>
    <row r="11" spans="1:19" ht="34" x14ac:dyDescent="0.2">
      <c r="A11" s="11">
        <v>2293</v>
      </c>
      <c r="B11" s="11" t="s">
        <v>129</v>
      </c>
      <c r="C11" s="11" t="s">
        <v>131</v>
      </c>
      <c r="D11" s="11">
        <v>60</v>
      </c>
      <c r="E11" s="11">
        <v>36</v>
      </c>
      <c r="F11" s="11">
        <v>2</v>
      </c>
      <c r="G11" s="11" t="s">
        <v>73</v>
      </c>
      <c r="H11" s="11">
        <v>100</v>
      </c>
      <c r="I11" s="2"/>
      <c r="J11" s="12"/>
      <c r="K11" s="12"/>
      <c r="L11" s="12"/>
      <c r="M11" s="10"/>
      <c r="N11" s="10"/>
      <c r="O11" s="10"/>
      <c r="P11" s="10"/>
      <c r="Q11" s="10"/>
      <c r="R11" s="10"/>
      <c r="S11" s="10"/>
    </row>
    <row r="12" spans="1:19" ht="34" x14ac:dyDescent="0.2">
      <c r="A12" s="11">
        <v>2302</v>
      </c>
      <c r="B12" s="11" t="s">
        <v>129</v>
      </c>
      <c r="C12" s="11" t="s">
        <v>22</v>
      </c>
      <c r="D12" s="11">
        <v>60</v>
      </c>
      <c r="E12" s="11">
        <v>28</v>
      </c>
      <c r="F12" s="11">
        <v>2</v>
      </c>
      <c r="G12" s="11" t="s">
        <v>73</v>
      </c>
      <c r="H12" s="11">
        <v>100</v>
      </c>
      <c r="I12" s="12"/>
      <c r="J12" s="12"/>
      <c r="K12" s="12"/>
      <c r="L12" s="12"/>
      <c r="M12" s="10"/>
      <c r="N12" s="10"/>
      <c r="O12" s="10"/>
      <c r="P12" s="10"/>
      <c r="Q12" s="10"/>
      <c r="R12" s="10"/>
      <c r="S12" s="10"/>
    </row>
    <row r="13" spans="1:19" ht="34" x14ac:dyDescent="0.2">
      <c r="A13" s="11">
        <v>2303</v>
      </c>
      <c r="B13" s="11" t="s">
        <v>129</v>
      </c>
      <c r="C13" s="11" t="s">
        <v>22</v>
      </c>
      <c r="D13" s="11">
        <v>150</v>
      </c>
      <c r="E13" s="11">
        <v>36</v>
      </c>
      <c r="F13" s="11">
        <v>2</v>
      </c>
      <c r="G13" s="11" t="s">
        <v>73</v>
      </c>
      <c r="H13" s="11">
        <v>100</v>
      </c>
      <c r="I13" s="2"/>
      <c r="J13" s="12"/>
      <c r="K13" s="12"/>
      <c r="L13" s="12"/>
      <c r="M13" s="10"/>
      <c r="N13" s="10"/>
      <c r="O13" s="10"/>
      <c r="P13" s="10"/>
      <c r="Q13" s="10"/>
      <c r="R13" s="10"/>
      <c r="S13" s="10"/>
    </row>
    <row r="14" spans="1:19" ht="34" x14ac:dyDescent="0.2">
      <c r="A14" s="11">
        <v>2304</v>
      </c>
      <c r="B14" s="11" t="s">
        <v>129</v>
      </c>
      <c r="C14" s="11" t="s">
        <v>22</v>
      </c>
      <c r="D14" s="11">
        <v>150</v>
      </c>
      <c r="E14" s="11">
        <v>36</v>
      </c>
      <c r="F14" s="11">
        <v>2</v>
      </c>
      <c r="G14" s="11" t="s">
        <v>73</v>
      </c>
      <c r="H14" s="11">
        <v>100</v>
      </c>
      <c r="I14" s="2"/>
      <c r="J14" s="12"/>
      <c r="K14" s="12"/>
      <c r="L14" s="12"/>
      <c r="M14" s="10"/>
      <c r="N14" s="10"/>
      <c r="O14" s="10"/>
      <c r="P14" s="10"/>
      <c r="Q14" s="10"/>
      <c r="R14" s="10"/>
      <c r="S14" s="10"/>
    </row>
    <row r="15" spans="1:19" ht="34" x14ac:dyDescent="0.2">
      <c r="A15" s="11">
        <v>2325</v>
      </c>
      <c r="B15" s="11" t="s">
        <v>132</v>
      </c>
      <c r="C15" s="11" t="s">
        <v>133</v>
      </c>
      <c r="D15" s="11">
        <v>130</v>
      </c>
      <c r="E15" s="11">
        <v>36</v>
      </c>
      <c r="F15" s="11">
        <v>2</v>
      </c>
      <c r="G15" s="11" t="s">
        <v>73</v>
      </c>
      <c r="H15" s="11">
        <v>100</v>
      </c>
      <c r="I15" s="2"/>
      <c r="J15" s="12"/>
      <c r="K15" s="4"/>
      <c r="L15" s="12"/>
      <c r="M15" s="10"/>
      <c r="N15" s="10"/>
      <c r="O15" s="10"/>
      <c r="P15" s="10"/>
      <c r="Q15" s="10"/>
      <c r="R15" s="10"/>
      <c r="S15" s="10"/>
    </row>
    <row r="16" spans="1:19" ht="34" x14ac:dyDescent="0.2">
      <c r="A16" s="11" t="s">
        <v>134</v>
      </c>
      <c r="B16" s="11" t="s">
        <v>132</v>
      </c>
      <c r="C16" s="11" t="s">
        <v>33</v>
      </c>
      <c r="D16" s="11">
        <v>240</v>
      </c>
      <c r="E16" s="11">
        <v>27</v>
      </c>
      <c r="F16" s="11">
        <v>2.2999999999999998</v>
      </c>
      <c r="G16" s="11" t="s">
        <v>135</v>
      </c>
      <c r="H16" s="11">
        <v>100</v>
      </c>
      <c r="I16" s="2"/>
      <c r="J16" s="11"/>
      <c r="K16" s="11"/>
      <c r="L16" s="11"/>
      <c r="M16" s="10"/>
      <c r="N16" s="10"/>
      <c r="O16" s="10"/>
      <c r="P16" s="10"/>
      <c r="Q16" s="10"/>
      <c r="R16" s="10"/>
      <c r="S16" s="10"/>
    </row>
    <row r="17" spans="1:19" ht="34" x14ac:dyDescent="0.2">
      <c r="A17" s="11" t="s">
        <v>136</v>
      </c>
      <c r="B17" s="11" t="s">
        <v>132</v>
      </c>
      <c r="C17" s="11" t="s">
        <v>33</v>
      </c>
      <c r="D17" s="11">
        <v>247</v>
      </c>
      <c r="E17" s="11">
        <v>29</v>
      </c>
      <c r="F17" s="11">
        <v>2.2999999999999998</v>
      </c>
      <c r="G17" s="11" t="s">
        <v>135</v>
      </c>
      <c r="H17" s="11">
        <v>100</v>
      </c>
      <c r="I17" s="2"/>
      <c r="J17" s="11"/>
      <c r="K17" s="11"/>
      <c r="L17" s="11"/>
      <c r="M17" s="10"/>
      <c r="N17" s="10"/>
      <c r="O17" s="10"/>
      <c r="P17" s="10"/>
      <c r="Q17" s="10"/>
      <c r="R17" s="10"/>
      <c r="S17" s="10"/>
    </row>
    <row r="18" spans="1:19" ht="34" x14ac:dyDescent="0.2">
      <c r="A18" s="11" t="s">
        <v>137</v>
      </c>
      <c r="B18" s="11" t="s">
        <v>132</v>
      </c>
      <c r="C18" s="11" t="s">
        <v>33</v>
      </c>
      <c r="D18" s="11">
        <v>244</v>
      </c>
      <c r="E18" s="11">
        <v>31.35</v>
      </c>
      <c r="F18" s="11">
        <v>2.2999999999999998</v>
      </c>
      <c r="G18" s="11" t="s">
        <v>135</v>
      </c>
      <c r="H18" s="11">
        <v>100</v>
      </c>
      <c r="I18" s="2"/>
      <c r="J18" s="11"/>
      <c r="K18" s="11"/>
      <c r="L18" s="11"/>
      <c r="M18" s="10"/>
      <c r="N18" s="10"/>
      <c r="O18" s="10"/>
      <c r="P18" s="10"/>
      <c r="Q18" s="10"/>
      <c r="R18" s="10"/>
      <c r="S18" s="10"/>
    </row>
    <row r="19" spans="1:19" ht="34" x14ac:dyDescent="0.2">
      <c r="A19" s="11" t="s">
        <v>138</v>
      </c>
      <c r="B19" s="11" t="s">
        <v>132</v>
      </c>
      <c r="C19" s="11" t="s">
        <v>33</v>
      </c>
      <c r="D19" s="11">
        <v>240</v>
      </c>
      <c r="E19" s="11">
        <v>28.9</v>
      </c>
      <c r="F19" s="11">
        <v>2.33</v>
      </c>
      <c r="G19" s="11" t="s">
        <v>71</v>
      </c>
      <c r="H19" s="11">
        <v>100</v>
      </c>
      <c r="I19" s="2"/>
      <c r="J19" s="3"/>
      <c r="K19" s="4">
        <v>1100</v>
      </c>
      <c r="L19" s="11"/>
      <c r="M19" s="10"/>
      <c r="N19" s="10"/>
      <c r="O19" s="10"/>
      <c r="P19" s="10"/>
      <c r="Q19" s="10"/>
      <c r="R19" s="10"/>
      <c r="S19" s="10"/>
    </row>
    <row r="20" spans="1:19" ht="34" x14ac:dyDescent="0.2">
      <c r="A20" s="11" t="s">
        <v>139</v>
      </c>
      <c r="B20" s="11" t="s">
        <v>132</v>
      </c>
      <c r="C20" s="11" t="s">
        <v>33</v>
      </c>
      <c r="D20" s="11">
        <v>240</v>
      </c>
      <c r="E20" s="11">
        <v>29.2</v>
      </c>
      <c r="F20" s="11">
        <v>2.67</v>
      </c>
      <c r="G20" s="11" t="s">
        <v>15</v>
      </c>
      <c r="H20" s="11">
        <v>99</v>
      </c>
      <c r="I20" s="2"/>
      <c r="J20" s="3"/>
      <c r="K20" s="4">
        <v>1100</v>
      </c>
      <c r="L20" s="11"/>
      <c r="M20" s="10"/>
      <c r="N20" s="10"/>
      <c r="O20" s="10"/>
      <c r="P20" s="10"/>
      <c r="Q20" s="10"/>
      <c r="R20" s="10"/>
      <c r="S20" s="10"/>
    </row>
    <row r="21" spans="1:19" ht="34" x14ac:dyDescent="0.2">
      <c r="A21" s="11" t="s">
        <v>140</v>
      </c>
      <c r="B21" s="11" t="s">
        <v>132</v>
      </c>
      <c r="C21" s="11" t="s">
        <v>33</v>
      </c>
      <c r="D21" s="11">
        <v>120</v>
      </c>
      <c r="E21" s="11">
        <v>31.9</v>
      </c>
      <c r="F21" s="11">
        <v>2.33</v>
      </c>
      <c r="G21" s="11" t="s">
        <v>15</v>
      </c>
      <c r="H21" s="15">
        <v>99</v>
      </c>
      <c r="I21" s="14"/>
      <c r="J21" s="3"/>
      <c r="K21" s="4">
        <v>1100</v>
      </c>
      <c r="L21" s="15"/>
      <c r="M21" s="10"/>
      <c r="N21" s="10"/>
      <c r="O21" s="10"/>
      <c r="P21" s="10"/>
      <c r="Q21" s="10"/>
      <c r="R21" s="10"/>
      <c r="S21" s="10"/>
    </row>
    <row r="22" spans="1:19" ht="34" x14ac:dyDescent="0.2">
      <c r="A22" s="11" t="s">
        <v>141</v>
      </c>
      <c r="B22" s="11" t="s">
        <v>132</v>
      </c>
      <c r="C22" s="11" t="s">
        <v>33</v>
      </c>
      <c r="D22" s="11">
        <v>120</v>
      </c>
      <c r="E22" s="11">
        <v>33.1</v>
      </c>
      <c r="F22" s="11">
        <v>2.2999999999999998</v>
      </c>
      <c r="G22" s="11" t="s">
        <v>15</v>
      </c>
      <c r="H22" s="11">
        <v>99</v>
      </c>
      <c r="I22" s="2"/>
      <c r="J22" s="3"/>
      <c r="K22" s="4">
        <v>1100</v>
      </c>
      <c r="L22" s="11"/>
      <c r="M22" s="10"/>
      <c r="N22" s="10"/>
      <c r="O22" s="10"/>
      <c r="P22" s="10"/>
      <c r="Q22" s="10"/>
      <c r="R22" s="10"/>
      <c r="S22" s="10"/>
    </row>
    <row r="23" spans="1:19" ht="34" x14ac:dyDescent="0.2">
      <c r="A23" s="11" t="s">
        <v>142</v>
      </c>
      <c r="B23" s="11" t="s">
        <v>132</v>
      </c>
      <c r="C23" s="11" t="s">
        <v>33</v>
      </c>
      <c r="D23" s="11">
        <v>120</v>
      </c>
      <c r="E23" s="11">
        <v>35.5</v>
      </c>
      <c r="F23" s="11">
        <v>2.2999999999999998</v>
      </c>
      <c r="G23" s="11" t="s">
        <v>15</v>
      </c>
      <c r="H23" s="11">
        <v>99</v>
      </c>
      <c r="I23" s="2"/>
      <c r="J23" s="3"/>
      <c r="K23" s="4">
        <v>1100</v>
      </c>
      <c r="L23" s="11"/>
      <c r="M23" s="10"/>
      <c r="N23" s="10"/>
      <c r="O23" s="10"/>
      <c r="P23" s="10"/>
      <c r="Q23" s="10"/>
      <c r="R23" s="10"/>
      <c r="S23" s="10"/>
    </row>
    <row r="24" spans="1:19" ht="34" x14ac:dyDescent="0.2">
      <c r="A24" s="11" t="s">
        <v>143</v>
      </c>
      <c r="B24" s="11" t="s">
        <v>132</v>
      </c>
      <c r="C24" s="11" t="s">
        <v>33</v>
      </c>
      <c r="D24" s="11">
        <v>120</v>
      </c>
      <c r="E24" s="11">
        <v>29.06</v>
      </c>
      <c r="F24" s="11">
        <v>2.2999999999999998</v>
      </c>
      <c r="G24" s="11" t="s">
        <v>15</v>
      </c>
      <c r="H24" s="11">
        <v>99</v>
      </c>
      <c r="I24" s="2"/>
      <c r="J24" s="3"/>
      <c r="K24" s="4">
        <v>1100</v>
      </c>
      <c r="L24" s="11"/>
      <c r="M24" s="10"/>
      <c r="N24" s="10"/>
      <c r="O24" s="10"/>
      <c r="P24" s="10"/>
      <c r="Q24" s="10"/>
      <c r="R24" s="10"/>
      <c r="S24" s="10"/>
    </row>
    <row r="25" spans="1:19" ht="34" x14ac:dyDescent="0.2">
      <c r="A25" s="11" t="s">
        <v>144</v>
      </c>
      <c r="B25" s="11" t="s">
        <v>132</v>
      </c>
      <c r="C25" s="11" t="s">
        <v>33</v>
      </c>
      <c r="D25" s="11">
        <v>120</v>
      </c>
      <c r="E25" s="11">
        <v>28.08</v>
      </c>
      <c r="F25" s="11">
        <v>2.2999999999999998</v>
      </c>
      <c r="G25" s="11" t="s">
        <v>15</v>
      </c>
      <c r="H25" s="11">
        <v>99</v>
      </c>
      <c r="I25" s="2"/>
      <c r="J25" s="3"/>
      <c r="K25" s="4">
        <v>1100</v>
      </c>
      <c r="L25" s="11"/>
      <c r="M25" s="10"/>
      <c r="N25" s="10"/>
      <c r="O25" s="10"/>
      <c r="P25" s="10"/>
      <c r="Q25" s="10"/>
      <c r="R25" s="10"/>
      <c r="S25" s="10"/>
    </row>
    <row r="26" spans="1:19" ht="34" x14ac:dyDescent="0.2">
      <c r="A26" s="11" t="s">
        <v>145</v>
      </c>
      <c r="B26" s="11" t="s">
        <v>129</v>
      </c>
      <c r="C26" s="11" t="s">
        <v>33</v>
      </c>
      <c r="D26" s="11">
        <v>120</v>
      </c>
      <c r="E26" s="11">
        <v>25.2</v>
      </c>
      <c r="F26" s="11">
        <v>2.2999999999999998</v>
      </c>
      <c r="G26" s="11" t="s">
        <v>15</v>
      </c>
      <c r="H26" s="11">
        <v>99</v>
      </c>
      <c r="I26" s="2"/>
      <c r="J26" s="3"/>
      <c r="K26" s="4">
        <v>1100</v>
      </c>
      <c r="L26" s="11"/>
      <c r="M26" s="10"/>
      <c r="N26" s="10"/>
      <c r="O26" s="10"/>
      <c r="P26" s="10"/>
      <c r="Q26" s="10"/>
      <c r="R26" s="10"/>
      <c r="S26" s="10"/>
    </row>
    <row r="27" spans="1:19" ht="34" x14ac:dyDescent="0.2">
      <c r="A27" s="11" t="s">
        <v>146</v>
      </c>
      <c r="B27" s="11" t="s">
        <v>129</v>
      </c>
      <c r="C27" s="11" t="s">
        <v>33</v>
      </c>
      <c r="D27" s="11">
        <v>120</v>
      </c>
      <c r="E27" s="11">
        <v>31.33</v>
      </c>
      <c r="F27" s="11">
        <v>2.33</v>
      </c>
      <c r="G27" s="11" t="s">
        <v>15</v>
      </c>
      <c r="H27" s="11">
        <v>99</v>
      </c>
      <c r="I27" s="2"/>
      <c r="J27" s="3"/>
      <c r="K27" s="4">
        <v>1100</v>
      </c>
      <c r="L27" s="11"/>
      <c r="M27" s="10"/>
      <c r="N27" s="10"/>
      <c r="O27" s="10"/>
      <c r="P27" s="10"/>
      <c r="Q27" s="10"/>
      <c r="R27" s="10"/>
      <c r="S27" s="10"/>
    </row>
    <row r="28" spans="1:19" ht="34" x14ac:dyDescent="0.2">
      <c r="A28" s="11" t="s">
        <v>147</v>
      </c>
      <c r="B28" s="11" t="s">
        <v>129</v>
      </c>
      <c r="C28" s="11" t="s">
        <v>33</v>
      </c>
      <c r="D28" s="11">
        <v>120</v>
      </c>
      <c r="E28" s="11">
        <v>36.200000000000003</v>
      </c>
      <c r="F28" s="11">
        <v>2.33</v>
      </c>
      <c r="G28" s="11" t="s">
        <v>15</v>
      </c>
      <c r="H28" s="11">
        <v>99</v>
      </c>
      <c r="I28" s="2"/>
      <c r="J28" s="3"/>
      <c r="K28" s="4">
        <v>1100</v>
      </c>
      <c r="L28" s="11"/>
      <c r="M28" s="10"/>
      <c r="N28" s="10"/>
      <c r="O28" s="10"/>
      <c r="P28" s="10"/>
      <c r="Q28" s="10"/>
      <c r="R28" s="10"/>
      <c r="S28" s="10"/>
    </row>
    <row r="29" spans="1:19" ht="34" x14ac:dyDescent="0.2">
      <c r="A29" s="11" t="s">
        <v>148</v>
      </c>
      <c r="B29" s="11" t="s">
        <v>129</v>
      </c>
      <c r="C29" s="11" t="s">
        <v>33</v>
      </c>
      <c r="D29" s="11">
        <v>95</v>
      </c>
      <c r="E29" s="11">
        <v>33.700000000000003</v>
      </c>
      <c r="F29" s="11">
        <v>1.28</v>
      </c>
      <c r="G29" s="11" t="s">
        <v>15</v>
      </c>
      <c r="H29" s="11">
        <v>99</v>
      </c>
      <c r="I29" s="2"/>
      <c r="J29" s="16"/>
      <c r="K29" s="4">
        <v>1100</v>
      </c>
      <c r="L29" s="11"/>
      <c r="M29" s="10"/>
      <c r="N29" s="10"/>
      <c r="O29" s="10"/>
      <c r="P29" s="10"/>
      <c r="Q29" s="10"/>
      <c r="R29" s="10"/>
      <c r="S29" s="10"/>
    </row>
    <row r="30" spans="1:19" ht="34" x14ac:dyDescent="0.2">
      <c r="A30" s="11" t="s">
        <v>149</v>
      </c>
      <c r="B30" s="11" t="s">
        <v>129</v>
      </c>
      <c r="C30" s="11" t="s">
        <v>33</v>
      </c>
      <c r="D30" s="11">
        <v>95</v>
      </c>
      <c r="E30" s="11">
        <v>31.35</v>
      </c>
      <c r="F30" s="11">
        <v>1.33</v>
      </c>
      <c r="G30" s="11" t="s">
        <v>15</v>
      </c>
      <c r="H30" s="11">
        <v>99</v>
      </c>
      <c r="I30" s="2"/>
      <c r="J30" s="3"/>
      <c r="K30" s="4">
        <v>1100</v>
      </c>
      <c r="L30" s="11"/>
      <c r="M30" s="10"/>
      <c r="N30" s="10"/>
      <c r="O30" s="10"/>
      <c r="P30" s="10"/>
      <c r="Q30" s="10"/>
      <c r="R30" s="10"/>
      <c r="S30" s="10"/>
    </row>
    <row r="31" spans="1:19" ht="34" x14ac:dyDescent="0.2">
      <c r="A31" s="11" t="s">
        <v>150</v>
      </c>
      <c r="B31" s="11" t="s">
        <v>129</v>
      </c>
      <c r="C31" s="11" t="s">
        <v>33</v>
      </c>
      <c r="D31" s="11">
        <v>240</v>
      </c>
      <c r="E31" s="11">
        <v>30.35</v>
      </c>
      <c r="F31" s="11">
        <v>10</v>
      </c>
      <c r="G31" s="11" t="s">
        <v>15</v>
      </c>
      <c r="H31" s="11">
        <v>99</v>
      </c>
      <c r="I31" s="17"/>
      <c r="J31" s="3"/>
      <c r="K31" s="4">
        <v>1100</v>
      </c>
      <c r="L31" s="11"/>
      <c r="M31" s="10"/>
      <c r="N31" s="10"/>
      <c r="O31" s="10"/>
      <c r="P31" s="10"/>
      <c r="Q31" s="10"/>
      <c r="R31" s="10"/>
      <c r="S31" s="10"/>
    </row>
    <row r="32" spans="1:19" ht="34" x14ac:dyDescent="0.2">
      <c r="A32" s="11" t="s">
        <v>151</v>
      </c>
      <c r="B32" s="11" t="s">
        <v>129</v>
      </c>
      <c r="C32" s="11" t="s">
        <v>33</v>
      </c>
      <c r="D32" s="11">
        <v>80</v>
      </c>
      <c r="E32" s="11">
        <v>32.130000000000003</v>
      </c>
      <c r="F32" s="11">
        <v>0.67</v>
      </c>
      <c r="G32" s="11" t="s">
        <v>15</v>
      </c>
      <c r="H32" s="11">
        <v>99</v>
      </c>
      <c r="I32" s="17"/>
      <c r="J32" s="12"/>
      <c r="K32" s="4">
        <v>1100</v>
      </c>
      <c r="L32" s="12"/>
      <c r="M32" s="10"/>
      <c r="N32" s="10"/>
      <c r="O32" s="10"/>
      <c r="P32" s="10"/>
      <c r="Q32" s="10"/>
      <c r="R32" s="10"/>
      <c r="S32" s="10"/>
    </row>
    <row r="33" spans="1:19" ht="34" x14ac:dyDescent="0.2">
      <c r="A33" s="11" t="s">
        <v>152</v>
      </c>
      <c r="B33" s="11" t="s">
        <v>129</v>
      </c>
      <c r="C33" s="11" t="s">
        <v>33</v>
      </c>
      <c r="D33" s="11">
        <v>120</v>
      </c>
      <c r="E33" s="11">
        <v>31.15</v>
      </c>
      <c r="F33" s="11">
        <v>2.33</v>
      </c>
      <c r="G33" s="11" t="s">
        <v>15</v>
      </c>
      <c r="H33" s="11">
        <v>99</v>
      </c>
      <c r="I33" s="17"/>
      <c r="J33" s="12"/>
      <c r="K33" s="4">
        <v>1100</v>
      </c>
      <c r="L33" s="12"/>
      <c r="M33" s="10"/>
      <c r="N33" s="10"/>
      <c r="O33" s="10"/>
      <c r="P33" s="10"/>
      <c r="Q33" s="10"/>
      <c r="R33" s="10"/>
      <c r="S33" s="10"/>
    </row>
    <row r="34" spans="1:19" ht="34" x14ac:dyDescent="0.2">
      <c r="A34" s="11" t="s">
        <v>153</v>
      </c>
      <c r="B34" s="11" t="s">
        <v>129</v>
      </c>
      <c r="C34" s="11" t="s">
        <v>33</v>
      </c>
      <c r="D34" s="11">
        <v>240</v>
      </c>
      <c r="E34" s="11">
        <v>31.15</v>
      </c>
      <c r="F34" s="11">
        <v>2.33</v>
      </c>
      <c r="G34" s="11" t="s">
        <v>15</v>
      </c>
      <c r="H34" s="11">
        <v>99</v>
      </c>
      <c r="I34" s="17"/>
      <c r="J34" s="12"/>
      <c r="K34" s="4">
        <v>1100</v>
      </c>
      <c r="L34" s="12"/>
      <c r="M34" s="10"/>
      <c r="N34" s="10"/>
      <c r="O34" s="10"/>
      <c r="P34" s="10"/>
      <c r="Q34" s="10"/>
      <c r="R34" s="10"/>
      <c r="S34" s="10"/>
    </row>
    <row r="35" spans="1:19" ht="34" x14ac:dyDescent="0.2">
      <c r="A35" s="11" t="s">
        <v>154</v>
      </c>
      <c r="B35" s="11" t="s">
        <v>129</v>
      </c>
      <c r="C35" s="11" t="s">
        <v>33</v>
      </c>
      <c r="D35" s="11">
        <v>120</v>
      </c>
      <c r="E35" s="11">
        <v>25.4</v>
      </c>
      <c r="F35" s="11">
        <v>2.33</v>
      </c>
      <c r="G35" s="11" t="s">
        <v>15</v>
      </c>
      <c r="H35" s="11">
        <v>99</v>
      </c>
      <c r="I35" s="17"/>
      <c r="J35" s="12"/>
      <c r="K35" s="4">
        <v>1100</v>
      </c>
      <c r="L35" s="12"/>
      <c r="M35" s="10"/>
      <c r="N35" s="10"/>
      <c r="O35" s="10"/>
      <c r="P35" s="10"/>
      <c r="Q35" s="10"/>
      <c r="R35" s="10"/>
      <c r="S35" s="10"/>
    </row>
    <row r="36" spans="1:19" ht="34" x14ac:dyDescent="0.2">
      <c r="A36" s="11" t="s">
        <v>155</v>
      </c>
      <c r="B36" s="11" t="s">
        <v>129</v>
      </c>
      <c r="C36" s="11" t="s">
        <v>156</v>
      </c>
      <c r="D36" s="11">
        <v>180</v>
      </c>
      <c r="E36" s="11">
        <v>31.51</v>
      </c>
      <c r="F36" s="11">
        <v>2.33</v>
      </c>
      <c r="G36" s="11" t="s">
        <v>15</v>
      </c>
      <c r="H36" s="11">
        <v>99</v>
      </c>
      <c r="I36" s="17"/>
      <c r="J36" s="12"/>
      <c r="K36" s="4">
        <v>1100</v>
      </c>
      <c r="L36" s="12"/>
      <c r="M36" s="10"/>
      <c r="N36" s="10"/>
      <c r="O36" s="10"/>
      <c r="P36" s="10"/>
      <c r="Q36" s="10"/>
      <c r="R36" s="10"/>
      <c r="S36" s="10"/>
    </row>
    <row r="37" spans="1:19" ht="34" x14ac:dyDescent="0.2">
      <c r="A37" s="11" t="s">
        <v>157</v>
      </c>
      <c r="B37" s="11" t="s">
        <v>129</v>
      </c>
      <c r="C37" s="11" t="s">
        <v>156</v>
      </c>
      <c r="D37" s="11">
        <v>180</v>
      </c>
      <c r="E37" s="11">
        <v>30.9</v>
      </c>
      <c r="F37" s="11">
        <v>2.33</v>
      </c>
      <c r="G37" s="11" t="s">
        <v>15</v>
      </c>
      <c r="H37" s="11">
        <v>99</v>
      </c>
      <c r="I37" s="17"/>
      <c r="J37" s="18" t="s">
        <v>158</v>
      </c>
      <c r="K37" s="4">
        <v>1100</v>
      </c>
      <c r="L37" s="12"/>
      <c r="M37" s="10"/>
      <c r="N37" s="10"/>
      <c r="O37" s="10"/>
      <c r="P37" s="10"/>
      <c r="Q37" s="10"/>
      <c r="R37" s="10"/>
      <c r="S37" s="10"/>
    </row>
    <row r="38" spans="1:19" ht="34" x14ac:dyDescent="0.2">
      <c r="A38" s="11" t="s">
        <v>159</v>
      </c>
      <c r="B38" s="11" t="s">
        <v>129</v>
      </c>
      <c r="C38" s="11" t="s">
        <v>156</v>
      </c>
      <c r="D38" s="11">
        <v>180</v>
      </c>
      <c r="E38" s="11">
        <v>31.26</v>
      </c>
      <c r="F38" s="11">
        <v>2.33</v>
      </c>
      <c r="G38" s="11" t="s">
        <v>15</v>
      </c>
      <c r="H38" s="11">
        <v>99</v>
      </c>
      <c r="I38" s="17"/>
      <c r="J38" s="18" t="s">
        <v>158</v>
      </c>
      <c r="K38" s="4">
        <v>1100</v>
      </c>
      <c r="L38" s="12"/>
      <c r="M38" s="10"/>
      <c r="N38" s="10"/>
      <c r="O38" s="10"/>
      <c r="P38" s="10"/>
      <c r="Q38" s="10"/>
      <c r="R38" s="10"/>
      <c r="S38" s="10"/>
    </row>
    <row r="39" spans="1:19" ht="34" x14ac:dyDescent="0.2">
      <c r="A39" s="11" t="s">
        <v>160</v>
      </c>
      <c r="B39" s="11" t="s">
        <v>132</v>
      </c>
      <c r="C39" s="11" t="s">
        <v>33</v>
      </c>
      <c r="D39" s="11">
        <v>180</v>
      </c>
      <c r="E39" s="11">
        <v>31.1</v>
      </c>
      <c r="F39" s="11">
        <v>2.33</v>
      </c>
      <c r="G39" s="11" t="s">
        <v>15</v>
      </c>
      <c r="H39" s="11">
        <v>99</v>
      </c>
      <c r="I39" s="17"/>
      <c r="J39" s="18" t="s">
        <v>161</v>
      </c>
      <c r="K39" s="4">
        <v>1100</v>
      </c>
      <c r="L39" s="12"/>
      <c r="M39" s="10"/>
      <c r="N39" s="10"/>
      <c r="O39" s="10"/>
      <c r="P39" s="10"/>
      <c r="Q39" s="10"/>
      <c r="R39" s="10"/>
      <c r="S39" s="10"/>
    </row>
    <row r="40" spans="1:19" ht="34" x14ac:dyDescent="0.2">
      <c r="A40" s="11" t="s">
        <v>162</v>
      </c>
      <c r="B40" s="11" t="s">
        <v>132</v>
      </c>
      <c r="C40" s="11" t="s">
        <v>33</v>
      </c>
      <c r="D40" s="11">
        <v>180</v>
      </c>
      <c r="E40" s="11">
        <v>33.32</v>
      </c>
      <c r="F40" s="11">
        <v>2.33</v>
      </c>
      <c r="G40" s="11" t="s">
        <v>15</v>
      </c>
      <c r="H40" s="11">
        <v>99</v>
      </c>
      <c r="I40" s="17"/>
      <c r="J40" s="18" t="s">
        <v>161</v>
      </c>
      <c r="K40" s="4">
        <v>1000</v>
      </c>
      <c r="L40" s="12"/>
      <c r="M40" s="10"/>
      <c r="N40" s="10"/>
      <c r="O40" s="10"/>
      <c r="P40" s="10"/>
      <c r="Q40" s="10"/>
      <c r="R40" s="10"/>
      <c r="S40" s="10"/>
    </row>
    <row r="41" spans="1:19" ht="34" x14ac:dyDescent="0.2">
      <c r="A41" s="11" t="s">
        <v>163</v>
      </c>
      <c r="B41" s="11" t="s">
        <v>132</v>
      </c>
      <c r="C41" s="11" t="s">
        <v>33</v>
      </c>
      <c r="D41" s="11">
        <v>180</v>
      </c>
      <c r="E41" s="11">
        <v>33.6</v>
      </c>
      <c r="F41" s="11">
        <v>2.33</v>
      </c>
      <c r="G41" s="11" t="s">
        <v>15</v>
      </c>
      <c r="H41" s="11">
        <v>99</v>
      </c>
      <c r="I41" s="17"/>
      <c r="J41" s="18" t="s">
        <v>158</v>
      </c>
      <c r="K41" s="4">
        <v>900</v>
      </c>
      <c r="L41" s="12"/>
      <c r="M41" s="10"/>
      <c r="N41" s="10"/>
      <c r="O41" s="10"/>
      <c r="P41" s="10"/>
      <c r="Q41" s="10"/>
      <c r="R41" s="10"/>
      <c r="S41" s="10"/>
    </row>
    <row r="42" spans="1:19" ht="34" x14ac:dyDescent="0.2">
      <c r="A42" s="11" t="s">
        <v>164</v>
      </c>
      <c r="B42" s="11" t="s">
        <v>132</v>
      </c>
      <c r="C42" s="11" t="s">
        <v>33</v>
      </c>
      <c r="D42" s="11">
        <v>180</v>
      </c>
      <c r="E42" s="11">
        <v>33.44</v>
      </c>
      <c r="F42" s="11">
        <v>2.33</v>
      </c>
      <c r="G42" s="11" t="s">
        <v>15</v>
      </c>
      <c r="H42" s="11">
        <v>99</v>
      </c>
      <c r="I42" s="17"/>
      <c r="J42" s="18" t="s">
        <v>158</v>
      </c>
      <c r="K42" s="4">
        <v>800</v>
      </c>
      <c r="L42" s="12"/>
      <c r="M42" s="10"/>
      <c r="N42" s="10"/>
      <c r="O42" s="10"/>
      <c r="P42" s="10"/>
      <c r="Q42" s="10"/>
      <c r="R42" s="10"/>
      <c r="S42" s="10"/>
    </row>
    <row r="43" spans="1:19" ht="34" x14ac:dyDescent="0.2">
      <c r="A43" s="11" t="s">
        <v>165</v>
      </c>
      <c r="B43" s="11" t="s">
        <v>132</v>
      </c>
      <c r="C43" s="11" t="s">
        <v>33</v>
      </c>
      <c r="D43" s="11">
        <v>180</v>
      </c>
      <c r="E43" s="11">
        <v>33.450000000000003</v>
      </c>
      <c r="F43" s="11">
        <v>2.33</v>
      </c>
      <c r="G43" s="11" t="s">
        <v>15</v>
      </c>
      <c r="H43" s="11">
        <v>99</v>
      </c>
      <c r="I43" s="17"/>
      <c r="J43" s="18" t="s">
        <v>161</v>
      </c>
      <c r="K43" s="4">
        <v>1100</v>
      </c>
      <c r="L43" s="12"/>
      <c r="M43" s="10"/>
      <c r="N43" s="10"/>
      <c r="O43" s="10"/>
      <c r="P43" s="10"/>
      <c r="Q43" s="10"/>
      <c r="R43" s="10"/>
      <c r="S43" s="10"/>
    </row>
    <row r="44" spans="1:19" ht="34" x14ac:dyDescent="0.2">
      <c r="A44" s="11" t="s">
        <v>166</v>
      </c>
      <c r="B44" s="11" t="s">
        <v>132</v>
      </c>
      <c r="C44" s="11" t="s">
        <v>33</v>
      </c>
      <c r="D44" s="11">
        <v>180</v>
      </c>
      <c r="E44" s="11">
        <v>33.299999999999997</v>
      </c>
      <c r="F44" s="11">
        <v>2.33</v>
      </c>
      <c r="G44" s="11" t="s">
        <v>15</v>
      </c>
      <c r="H44" s="11">
        <v>99</v>
      </c>
      <c r="I44" s="17"/>
      <c r="J44" s="18" t="s">
        <v>161</v>
      </c>
      <c r="K44" s="4">
        <v>1100</v>
      </c>
      <c r="L44" s="12"/>
      <c r="M44" s="10"/>
      <c r="N44" s="10"/>
      <c r="O44" s="10"/>
      <c r="P44" s="10"/>
      <c r="Q44" s="10"/>
      <c r="R44" s="10"/>
      <c r="S44" s="10"/>
    </row>
    <row r="45" spans="1:19" ht="35" thickBot="1" x14ac:dyDescent="0.25">
      <c r="A45" s="11" t="s">
        <v>167</v>
      </c>
      <c r="B45" s="11" t="s">
        <v>168</v>
      </c>
      <c r="C45" s="11" t="s">
        <v>33</v>
      </c>
      <c r="D45" s="11">
        <v>180</v>
      </c>
      <c r="E45" s="11">
        <v>25.6</v>
      </c>
      <c r="F45" s="11">
        <v>2</v>
      </c>
      <c r="G45" s="11" t="s">
        <v>15</v>
      </c>
      <c r="H45" s="11">
        <v>99</v>
      </c>
      <c r="I45" s="17"/>
      <c r="J45" s="12"/>
      <c r="K45" s="4">
        <v>1100</v>
      </c>
      <c r="L45" s="12"/>
      <c r="M45" s="10"/>
      <c r="N45" s="10"/>
      <c r="O45" s="10"/>
      <c r="P45" s="10"/>
      <c r="Q45" s="10"/>
      <c r="R45" s="10"/>
      <c r="S45" s="10"/>
    </row>
    <row r="46" spans="1:19" ht="36" thickTop="1" thickBot="1" x14ac:dyDescent="0.25">
      <c r="A46" s="11" t="s">
        <v>169</v>
      </c>
      <c r="B46" s="11" t="s">
        <v>168</v>
      </c>
      <c r="C46" s="11" t="s">
        <v>33</v>
      </c>
      <c r="D46" s="11">
        <v>180</v>
      </c>
      <c r="E46" s="11">
        <v>31.3</v>
      </c>
      <c r="F46" s="11">
        <v>2</v>
      </c>
      <c r="G46" s="11" t="s">
        <v>15</v>
      </c>
      <c r="H46" s="11">
        <v>99</v>
      </c>
      <c r="I46" s="17"/>
      <c r="J46" s="19"/>
      <c r="K46" s="4">
        <v>1100</v>
      </c>
      <c r="L46" s="12"/>
      <c r="M46" s="10"/>
      <c r="N46" s="10"/>
      <c r="O46" s="10"/>
      <c r="P46" s="10"/>
      <c r="Q46" s="10"/>
      <c r="R46" s="10"/>
      <c r="S46" s="10"/>
    </row>
    <row r="47" spans="1:19" ht="36" thickTop="1" thickBot="1" x14ac:dyDescent="0.25">
      <c r="A47" s="11" t="s">
        <v>170</v>
      </c>
      <c r="B47" s="11" t="s">
        <v>171</v>
      </c>
      <c r="C47" s="11" t="s">
        <v>33</v>
      </c>
      <c r="D47" s="11">
        <v>180</v>
      </c>
      <c r="E47" s="11">
        <v>31.3</v>
      </c>
      <c r="F47" s="11">
        <v>2</v>
      </c>
      <c r="G47" s="11" t="s">
        <v>15</v>
      </c>
      <c r="H47" s="11">
        <v>99</v>
      </c>
      <c r="I47" s="12"/>
      <c r="J47" s="12"/>
      <c r="K47" s="12"/>
      <c r="L47" s="12"/>
      <c r="M47" s="10"/>
      <c r="N47" s="10"/>
      <c r="O47" s="10"/>
      <c r="P47" s="10"/>
      <c r="Q47" s="10"/>
      <c r="R47" s="10"/>
      <c r="S47" s="10"/>
    </row>
    <row r="48" spans="1:19" ht="36" thickTop="1" thickBot="1" x14ac:dyDescent="0.25">
      <c r="A48" s="11" t="s">
        <v>172</v>
      </c>
      <c r="B48" s="11" t="s">
        <v>171</v>
      </c>
      <c r="C48" s="11" t="s">
        <v>33</v>
      </c>
      <c r="D48" s="11">
        <v>180</v>
      </c>
      <c r="E48" s="11">
        <v>31.3</v>
      </c>
      <c r="F48" s="11">
        <v>2</v>
      </c>
      <c r="G48" s="11" t="s">
        <v>15</v>
      </c>
      <c r="H48" s="11">
        <v>99</v>
      </c>
      <c r="I48" s="17"/>
      <c r="J48" s="19"/>
      <c r="K48" s="12"/>
      <c r="L48" s="12"/>
      <c r="M48" s="10"/>
      <c r="N48" s="10"/>
      <c r="O48" s="10"/>
      <c r="P48" s="10"/>
      <c r="Q48" s="10"/>
      <c r="R48" s="10"/>
      <c r="S48" s="10"/>
    </row>
    <row r="49" spans="1:19" ht="36" thickTop="1" thickBot="1" x14ac:dyDescent="0.25">
      <c r="A49" s="11" t="s">
        <v>173</v>
      </c>
      <c r="B49" s="11" t="s">
        <v>132</v>
      </c>
      <c r="C49" s="11" t="s">
        <v>33</v>
      </c>
      <c r="D49" s="11">
        <v>180</v>
      </c>
      <c r="E49" s="11">
        <v>31.3</v>
      </c>
      <c r="F49" s="11">
        <v>2</v>
      </c>
      <c r="G49" s="11" t="s">
        <v>15</v>
      </c>
      <c r="H49" s="11">
        <v>99</v>
      </c>
      <c r="I49" s="17"/>
      <c r="J49" s="12"/>
      <c r="K49" s="12"/>
      <c r="L49" s="12"/>
      <c r="M49" s="10"/>
      <c r="N49" s="10"/>
      <c r="O49" s="10"/>
      <c r="P49" s="10"/>
      <c r="Q49" s="10"/>
      <c r="R49" s="10"/>
      <c r="S49" s="10"/>
    </row>
    <row r="50" spans="1:19" ht="36" thickTop="1" thickBot="1" x14ac:dyDescent="0.25">
      <c r="A50" s="11" t="s">
        <v>174</v>
      </c>
      <c r="B50" s="11" t="s">
        <v>132</v>
      </c>
      <c r="C50" s="11" t="s">
        <v>33</v>
      </c>
      <c r="D50" s="11">
        <v>180</v>
      </c>
      <c r="E50" s="11">
        <v>31.6</v>
      </c>
      <c r="F50" s="11">
        <v>2</v>
      </c>
      <c r="G50" s="11" t="s">
        <v>15</v>
      </c>
      <c r="H50" s="11">
        <v>99</v>
      </c>
      <c r="I50" s="17"/>
      <c r="J50" s="19"/>
      <c r="K50" s="12"/>
      <c r="L50" s="12"/>
      <c r="M50" s="10"/>
      <c r="N50" s="10"/>
      <c r="O50" s="10"/>
      <c r="P50" s="10"/>
      <c r="Q50" s="10"/>
      <c r="R50" s="10"/>
      <c r="S50" s="10"/>
    </row>
    <row r="51" spans="1:19" ht="35" thickTop="1" x14ac:dyDescent="0.2">
      <c r="A51" s="11" t="s">
        <v>175</v>
      </c>
      <c r="B51" s="11" t="s">
        <v>132</v>
      </c>
      <c r="C51" s="11" t="s">
        <v>33</v>
      </c>
      <c r="D51" s="11">
        <v>180</v>
      </c>
      <c r="E51" s="11">
        <v>31.9</v>
      </c>
      <c r="F51" s="11">
        <v>2</v>
      </c>
      <c r="G51" s="11" t="s">
        <v>15</v>
      </c>
      <c r="H51" s="11">
        <v>99</v>
      </c>
      <c r="I51" s="17"/>
      <c r="J51" s="12"/>
      <c r="K51" s="12"/>
      <c r="L51" s="12"/>
      <c r="M51" s="10"/>
      <c r="N51" s="10"/>
      <c r="O51" s="10"/>
      <c r="P51" s="10"/>
      <c r="Q51" s="10"/>
      <c r="R51" s="10"/>
      <c r="S51" s="10"/>
    </row>
    <row r="52" spans="1:19" ht="34" x14ac:dyDescent="0.2">
      <c r="A52" s="11" t="s">
        <v>176</v>
      </c>
      <c r="B52" s="11" t="s">
        <v>132</v>
      </c>
      <c r="C52" s="11" t="s">
        <v>177</v>
      </c>
      <c r="D52" s="11">
        <v>180</v>
      </c>
      <c r="E52" s="11">
        <v>31.9</v>
      </c>
      <c r="F52" s="11">
        <v>2</v>
      </c>
      <c r="G52" s="11" t="s">
        <v>15</v>
      </c>
      <c r="H52" s="11">
        <v>99</v>
      </c>
      <c r="I52" s="17"/>
      <c r="J52" s="12"/>
      <c r="K52" s="12"/>
      <c r="L52" s="12"/>
      <c r="M52" s="10"/>
      <c r="N52" s="10"/>
      <c r="O52" s="10"/>
      <c r="P52" s="10"/>
      <c r="Q52" s="10"/>
      <c r="R52" s="10"/>
      <c r="S52" s="10"/>
    </row>
    <row r="53" spans="1:19" ht="51" x14ac:dyDescent="0.2">
      <c r="A53" s="11" t="s">
        <v>178</v>
      </c>
      <c r="B53" s="11" t="s">
        <v>132</v>
      </c>
      <c r="C53" s="11" t="s">
        <v>179</v>
      </c>
      <c r="D53" s="11">
        <v>180</v>
      </c>
      <c r="E53" s="11">
        <v>35</v>
      </c>
      <c r="F53" s="11">
        <v>2</v>
      </c>
      <c r="G53" s="11" t="s">
        <v>15</v>
      </c>
      <c r="H53" s="11">
        <v>99</v>
      </c>
      <c r="I53" s="17"/>
      <c r="J53" s="12"/>
      <c r="K53" s="12"/>
      <c r="L53" s="12"/>
      <c r="M53" s="10"/>
      <c r="N53" s="10"/>
      <c r="O53" s="10"/>
      <c r="P53" s="10"/>
      <c r="Q53" s="10"/>
      <c r="R53" s="10"/>
      <c r="S53" s="10"/>
    </row>
    <row r="54" spans="1:19" ht="51" x14ac:dyDescent="0.2">
      <c r="A54" s="11" t="s">
        <v>180</v>
      </c>
      <c r="B54" s="11" t="s">
        <v>132</v>
      </c>
      <c r="C54" s="11" t="s">
        <v>179</v>
      </c>
      <c r="D54" s="11">
        <v>180</v>
      </c>
      <c r="E54" s="11">
        <v>33</v>
      </c>
      <c r="F54" s="11">
        <v>2</v>
      </c>
      <c r="G54" s="11" t="s">
        <v>15</v>
      </c>
      <c r="H54" s="11">
        <v>99</v>
      </c>
      <c r="I54" s="17"/>
      <c r="J54" s="12"/>
      <c r="K54" s="12"/>
      <c r="L54" s="12"/>
      <c r="M54" s="10"/>
      <c r="N54" s="10"/>
      <c r="O54" s="10"/>
      <c r="P54" s="10"/>
      <c r="Q54" s="10"/>
      <c r="R54" s="10"/>
      <c r="S54" s="10"/>
    </row>
    <row r="55" spans="1:19" ht="34" x14ac:dyDescent="0.2">
      <c r="A55" s="11" t="s">
        <v>181</v>
      </c>
      <c r="B55" s="11" t="s">
        <v>132</v>
      </c>
      <c r="C55" s="11" t="s">
        <v>33</v>
      </c>
      <c r="D55" s="12">
        <v>120</v>
      </c>
      <c r="E55" s="12">
        <v>37.200000000000003</v>
      </c>
      <c r="F55" s="12">
        <v>2</v>
      </c>
      <c r="G55" s="11" t="s">
        <v>15</v>
      </c>
      <c r="H55" s="11">
        <v>100</v>
      </c>
      <c r="I55" s="12"/>
      <c r="J55" s="12"/>
      <c r="K55" s="12"/>
      <c r="L55" s="12"/>
      <c r="M55" s="10"/>
      <c r="N55" s="10"/>
      <c r="O55" s="10"/>
      <c r="P55" s="10"/>
      <c r="Q55" s="10"/>
      <c r="R55" s="10"/>
      <c r="S55" s="10"/>
    </row>
    <row r="56" spans="1:19" ht="34" x14ac:dyDescent="0.2">
      <c r="A56" s="11" t="s">
        <v>182</v>
      </c>
      <c r="B56" s="11" t="s">
        <v>132</v>
      </c>
      <c r="C56" s="11" t="s">
        <v>33</v>
      </c>
      <c r="D56" s="12">
        <v>120</v>
      </c>
      <c r="E56" s="12">
        <v>37.200000000000003</v>
      </c>
      <c r="F56" s="12">
        <v>2</v>
      </c>
      <c r="G56" s="11" t="s">
        <v>15</v>
      </c>
      <c r="H56" s="11">
        <v>100</v>
      </c>
      <c r="I56" s="12"/>
      <c r="J56" s="12"/>
      <c r="K56" s="12"/>
      <c r="L56" s="12"/>
      <c r="M56" s="10"/>
      <c r="N56" s="10"/>
      <c r="O56" s="10"/>
      <c r="P56" s="10"/>
      <c r="Q56" s="10"/>
      <c r="R56" s="10"/>
      <c r="S56" s="10"/>
    </row>
    <row r="57" spans="1:19" ht="34" x14ac:dyDescent="0.2">
      <c r="A57" s="11" t="s">
        <v>183</v>
      </c>
      <c r="B57" s="11" t="s">
        <v>132</v>
      </c>
      <c r="C57" s="11" t="s">
        <v>33</v>
      </c>
      <c r="D57" s="12">
        <v>120</v>
      </c>
      <c r="E57" s="12">
        <v>37.200000000000003</v>
      </c>
      <c r="F57" s="12">
        <v>2</v>
      </c>
      <c r="G57" s="11" t="s">
        <v>15</v>
      </c>
      <c r="H57" s="11">
        <v>100</v>
      </c>
      <c r="I57" s="12"/>
      <c r="J57" s="12"/>
      <c r="K57" s="12"/>
      <c r="L57" s="12"/>
      <c r="M57" s="10"/>
      <c r="N57" s="10"/>
      <c r="O57" s="10"/>
      <c r="P57" s="10"/>
      <c r="Q57" s="10"/>
      <c r="R57" s="10"/>
      <c r="S57" s="10"/>
    </row>
    <row r="58" spans="1:19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0"/>
      <c r="N58" s="10"/>
      <c r="O58" s="10"/>
      <c r="P58" s="10"/>
      <c r="Q58" s="10"/>
      <c r="R58" s="10"/>
      <c r="S58" s="10"/>
    </row>
    <row r="59" spans="1:19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0"/>
      <c r="N59" s="10"/>
      <c r="O59" s="10"/>
      <c r="P59" s="10"/>
      <c r="Q59" s="10"/>
      <c r="R59" s="10"/>
      <c r="S59" s="10"/>
    </row>
    <row r="60" spans="1:19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0"/>
      <c r="N60" s="10"/>
      <c r="O60" s="10"/>
      <c r="P60" s="10"/>
      <c r="Q60" s="10"/>
      <c r="R60" s="10"/>
      <c r="S60" s="10"/>
    </row>
    <row r="61" spans="1:19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0"/>
      <c r="N61" s="10"/>
      <c r="O61" s="10"/>
      <c r="P61" s="10"/>
      <c r="Q61" s="10"/>
      <c r="R61" s="10"/>
      <c r="S61" s="10"/>
    </row>
    <row r="62" spans="1:19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0"/>
      <c r="N62" s="10"/>
      <c r="O62" s="10"/>
      <c r="P62" s="10"/>
      <c r="Q62" s="10"/>
      <c r="R62" s="10"/>
      <c r="S62" s="10"/>
    </row>
    <row r="63" spans="1:19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0"/>
      <c r="N63" s="10"/>
      <c r="O63" s="10"/>
      <c r="P63" s="10"/>
      <c r="Q63" s="10"/>
      <c r="R63" s="10"/>
      <c r="S63" s="10"/>
    </row>
    <row r="64" spans="1:19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0"/>
      <c r="N64" s="10"/>
      <c r="O64" s="10"/>
      <c r="P64" s="10"/>
      <c r="Q64" s="10"/>
      <c r="R64" s="10"/>
      <c r="S64" s="10"/>
    </row>
    <row r="65" spans="1:19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0"/>
      <c r="N65" s="10"/>
      <c r="O65" s="10"/>
      <c r="P65" s="10"/>
      <c r="Q65" s="10"/>
      <c r="R65" s="10"/>
      <c r="S65" s="10"/>
    </row>
    <row r="66" spans="1:19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0"/>
      <c r="N66" s="10"/>
      <c r="O66" s="10"/>
      <c r="P66" s="10"/>
      <c r="Q66" s="10"/>
      <c r="R66" s="10"/>
      <c r="S66" s="10"/>
    </row>
    <row r="67" spans="1:19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0"/>
      <c r="N67" s="10"/>
      <c r="O67" s="10"/>
      <c r="P67" s="10"/>
      <c r="Q67" s="10"/>
      <c r="R67" s="10"/>
      <c r="S67" s="10"/>
    </row>
    <row r="68" spans="1:19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0"/>
      <c r="N68" s="10"/>
      <c r="O68" s="10"/>
      <c r="P68" s="10"/>
      <c r="Q68" s="10"/>
      <c r="R68" s="10"/>
      <c r="S68" s="10"/>
    </row>
    <row r="69" spans="1:19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0"/>
      <c r="N69" s="10"/>
      <c r="O69" s="10"/>
      <c r="P69" s="10"/>
      <c r="Q69" s="10"/>
      <c r="R69" s="10"/>
      <c r="S69" s="10"/>
    </row>
    <row r="70" spans="1:19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0"/>
      <c r="N70" s="10"/>
      <c r="O70" s="10"/>
      <c r="P70" s="10"/>
      <c r="Q70" s="10"/>
      <c r="R70" s="10"/>
      <c r="S70" s="10"/>
    </row>
    <row r="71" spans="1:19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0"/>
      <c r="N71" s="10"/>
      <c r="O71" s="10"/>
      <c r="P71" s="10"/>
      <c r="Q71" s="10"/>
      <c r="R71" s="10"/>
      <c r="S71" s="10"/>
    </row>
    <row r="72" spans="1:19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0"/>
      <c r="N72" s="10"/>
      <c r="O72" s="10"/>
      <c r="P72" s="10"/>
      <c r="Q72" s="10"/>
      <c r="R72" s="10"/>
      <c r="S72" s="10"/>
    </row>
    <row r="73" spans="1:19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0"/>
      <c r="N73" s="10"/>
      <c r="O73" s="10"/>
      <c r="P73" s="10"/>
      <c r="Q73" s="10"/>
      <c r="R73" s="10"/>
      <c r="S73" s="10"/>
    </row>
    <row r="74" spans="1:19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0"/>
      <c r="N74" s="10"/>
      <c r="O74" s="10"/>
      <c r="P74" s="10"/>
      <c r="Q74" s="10"/>
      <c r="R74" s="10"/>
      <c r="S7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C85B-2EF4-EB4E-8EAB-9FB9EBE2FFB4}">
  <dimension ref="A1:S101"/>
  <sheetViews>
    <sheetView topLeftCell="A36" workbookViewId="0">
      <selection activeCell="H44" sqref="H44:H52"/>
    </sheetView>
  </sheetViews>
  <sheetFormatPr baseColWidth="10" defaultRowHeight="16" x14ac:dyDescent="0.2"/>
  <sheetData>
    <row r="1" spans="1:19" ht="36" thickTop="1" thickBot="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184</v>
      </c>
      <c r="I1" s="23" t="s">
        <v>7</v>
      </c>
      <c r="J1" s="24" t="s">
        <v>8</v>
      </c>
      <c r="K1" s="25" t="s">
        <v>9</v>
      </c>
      <c r="L1" s="26" t="s">
        <v>10</v>
      </c>
      <c r="M1" s="9"/>
      <c r="N1" s="9"/>
      <c r="O1" s="9"/>
      <c r="P1" s="9"/>
      <c r="Q1" s="9"/>
      <c r="R1" s="9"/>
      <c r="S1" s="9"/>
    </row>
    <row r="2" spans="1:19" ht="121" thickTop="1" thickBot="1" x14ac:dyDescent="0.25">
      <c r="A2" s="27">
        <v>2143</v>
      </c>
      <c r="B2" s="28" t="s">
        <v>185</v>
      </c>
      <c r="C2" s="28" t="s">
        <v>186</v>
      </c>
      <c r="D2" s="28">
        <v>160</v>
      </c>
      <c r="E2" s="28">
        <v>28</v>
      </c>
      <c r="F2" s="28">
        <v>2</v>
      </c>
      <c r="G2" s="28" t="s">
        <v>73</v>
      </c>
      <c r="H2" s="11">
        <v>100</v>
      </c>
      <c r="I2" s="28" t="s">
        <v>187</v>
      </c>
      <c r="J2" s="30"/>
      <c r="K2" s="30"/>
      <c r="L2" s="30"/>
      <c r="M2" s="9"/>
      <c r="N2" s="9"/>
      <c r="O2" s="9"/>
      <c r="P2" s="9"/>
      <c r="Q2" s="9"/>
      <c r="R2" s="9"/>
      <c r="S2" s="9"/>
    </row>
    <row r="3" spans="1:19" ht="36" thickTop="1" thickBot="1" x14ac:dyDescent="0.25">
      <c r="A3" s="31">
        <v>2144</v>
      </c>
      <c r="B3" s="32" t="s">
        <v>185</v>
      </c>
      <c r="C3" s="32" t="s">
        <v>186</v>
      </c>
      <c r="D3" s="32">
        <v>150</v>
      </c>
      <c r="E3" s="32">
        <v>28</v>
      </c>
      <c r="F3" s="32">
        <v>2</v>
      </c>
      <c r="G3" s="32" t="s">
        <v>73</v>
      </c>
      <c r="H3" s="11">
        <v>100</v>
      </c>
      <c r="I3" s="32"/>
      <c r="J3" s="30"/>
      <c r="K3" s="30"/>
      <c r="L3" s="30"/>
      <c r="M3" s="9"/>
      <c r="N3" s="9"/>
      <c r="O3" s="9"/>
      <c r="P3" s="9"/>
      <c r="Q3" s="9"/>
      <c r="R3" s="9"/>
      <c r="S3" s="9"/>
    </row>
    <row r="4" spans="1:19" ht="36" thickTop="1" thickBot="1" x14ac:dyDescent="0.25">
      <c r="A4" s="31">
        <v>2145</v>
      </c>
      <c r="B4" s="32" t="s">
        <v>185</v>
      </c>
      <c r="C4" s="32" t="s">
        <v>186</v>
      </c>
      <c r="D4" s="32">
        <v>190</v>
      </c>
      <c r="E4" s="32">
        <v>32</v>
      </c>
      <c r="F4" s="32">
        <v>2</v>
      </c>
      <c r="G4" s="32" t="s">
        <v>73</v>
      </c>
      <c r="H4" s="11">
        <v>100</v>
      </c>
      <c r="I4" s="32"/>
      <c r="J4" s="30"/>
      <c r="K4" s="30"/>
      <c r="L4" s="30"/>
      <c r="M4" s="9"/>
      <c r="N4" s="9"/>
      <c r="O4" s="9"/>
      <c r="P4" s="9"/>
      <c r="Q4" s="9"/>
      <c r="R4" s="9"/>
      <c r="S4" s="9"/>
    </row>
    <row r="5" spans="1:19" ht="36" thickTop="1" thickBot="1" x14ac:dyDescent="0.25">
      <c r="A5" s="31">
        <v>2146</v>
      </c>
      <c r="B5" s="32" t="s">
        <v>185</v>
      </c>
      <c r="C5" s="32" t="s">
        <v>186</v>
      </c>
      <c r="D5" s="32">
        <v>150</v>
      </c>
      <c r="E5" s="32">
        <v>32</v>
      </c>
      <c r="F5" s="32">
        <v>2</v>
      </c>
      <c r="G5" s="32" t="s">
        <v>73</v>
      </c>
      <c r="H5" s="11">
        <v>100</v>
      </c>
      <c r="I5" s="32"/>
      <c r="J5" s="30"/>
      <c r="K5" s="30"/>
      <c r="L5" s="30"/>
      <c r="M5" s="9"/>
      <c r="N5" s="9"/>
      <c r="O5" s="9"/>
      <c r="P5" s="9"/>
      <c r="Q5" s="9"/>
      <c r="R5" s="9"/>
      <c r="S5" s="9"/>
    </row>
    <row r="6" spans="1:19" ht="121" thickTop="1" thickBot="1" x14ac:dyDescent="0.25">
      <c r="A6" s="31">
        <v>2147</v>
      </c>
      <c r="B6" s="32" t="s">
        <v>185</v>
      </c>
      <c r="C6" s="32" t="s">
        <v>188</v>
      </c>
      <c r="D6" s="32">
        <v>150</v>
      </c>
      <c r="E6" s="32">
        <v>28</v>
      </c>
      <c r="F6" s="32">
        <v>2</v>
      </c>
      <c r="G6" s="32" t="s">
        <v>73</v>
      </c>
      <c r="H6" s="11">
        <v>100</v>
      </c>
      <c r="I6" s="32" t="s">
        <v>189</v>
      </c>
      <c r="J6" s="30"/>
      <c r="K6" s="30"/>
      <c r="L6" s="30"/>
      <c r="M6" s="9"/>
      <c r="N6" s="9"/>
      <c r="O6" s="9"/>
      <c r="P6" s="9"/>
      <c r="Q6" s="9"/>
      <c r="R6" s="9"/>
      <c r="S6" s="9"/>
    </row>
    <row r="7" spans="1:19" ht="53" thickTop="1" thickBot="1" x14ac:dyDescent="0.25">
      <c r="A7" s="31">
        <v>2148</v>
      </c>
      <c r="B7" s="32" t="s">
        <v>185</v>
      </c>
      <c r="C7" s="32" t="s">
        <v>188</v>
      </c>
      <c r="D7" s="32">
        <v>150</v>
      </c>
      <c r="E7" s="32">
        <v>32</v>
      </c>
      <c r="F7" s="32">
        <v>2</v>
      </c>
      <c r="G7" s="32" t="s">
        <v>73</v>
      </c>
      <c r="H7" s="11">
        <v>100</v>
      </c>
      <c r="I7" s="32" t="s">
        <v>190</v>
      </c>
      <c r="J7" s="30"/>
      <c r="K7" s="30"/>
      <c r="L7" s="30"/>
      <c r="M7" s="9"/>
      <c r="N7" s="9"/>
      <c r="O7" s="9"/>
      <c r="P7" s="9"/>
      <c r="Q7" s="9"/>
      <c r="R7" s="9"/>
      <c r="S7" s="9"/>
    </row>
    <row r="8" spans="1:19" ht="36" thickTop="1" thickBot="1" x14ac:dyDescent="0.25">
      <c r="A8" s="31">
        <v>2264</v>
      </c>
      <c r="B8" s="32" t="s">
        <v>191</v>
      </c>
      <c r="C8" s="32" t="s">
        <v>22</v>
      </c>
      <c r="D8" s="32">
        <v>60</v>
      </c>
      <c r="E8" s="32">
        <v>36</v>
      </c>
      <c r="F8" s="32">
        <v>10</v>
      </c>
      <c r="G8" s="32" t="s">
        <v>73</v>
      </c>
      <c r="H8" s="11">
        <v>100</v>
      </c>
      <c r="I8" s="32"/>
      <c r="J8" s="34"/>
      <c r="K8" s="34"/>
      <c r="L8" s="35"/>
      <c r="M8" s="9"/>
      <c r="N8" s="9"/>
      <c r="O8" s="9"/>
      <c r="P8" s="9"/>
      <c r="Q8" s="9"/>
      <c r="R8" s="9"/>
      <c r="S8" s="9"/>
    </row>
    <row r="9" spans="1:19" ht="36" thickTop="1" thickBot="1" x14ac:dyDescent="0.25">
      <c r="A9" s="31">
        <v>2265</v>
      </c>
      <c r="B9" s="32" t="s">
        <v>191</v>
      </c>
      <c r="C9" s="32" t="s">
        <v>22</v>
      </c>
      <c r="D9" s="32">
        <v>60</v>
      </c>
      <c r="E9" s="32">
        <v>32</v>
      </c>
      <c r="F9" s="32">
        <v>10</v>
      </c>
      <c r="G9" s="32" t="s">
        <v>73</v>
      </c>
      <c r="H9" s="11">
        <v>100</v>
      </c>
      <c r="I9" s="32"/>
      <c r="J9" s="34"/>
      <c r="K9" s="34"/>
      <c r="L9" s="35"/>
      <c r="M9" s="9"/>
      <c r="N9" s="9"/>
      <c r="O9" s="9"/>
      <c r="P9" s="9"/>
      <c r="Q9" s="9"/>
      <c r="R9" s="9"/>
      <c r="S9" s="9"/>
    </row>
    <row r="10" spans="1:19" ht="36" thickTop="1" thickBot="1" x14ac:dyDescent="0.25">
      <c r="A10" s="31">
        <v>2266</v>
      </c>
      <c r="B10" s="32" t="s">
        <v>191</v>
      </c>
      <c r="C10" s="32" t="s">
        <v>22</v>
      </c>
      <c r="D10" s="32">
        <v>80</v>
      </c>
      <c r="E10" s="32">
        <v>28</v>
      </c>
      <c r="F10" s="32">
        <v>10</v>
      </c>
      <c r="G10" s="32" t="s">
        <v>73</v>
      </c>
      <c r="H10" s="11">
        <v>100</v>
      </c>
      <c r="I10" s="32"/>
      <c r="J10" s="34"/>
      <c r="K10" s="34"/>
      <c r="L10" s="35"/>
      <c r="M10" s="9"/>
      <c r="N10" s="9"/>
      <c r="O10" s="9"/>
      <c r="P10" s="9"/>
      <c r="Q10" s="9"/>
      <c r="R10" s="9"/>
      <c r="S10" s="9"/>
    </row>
    <row r="11" spans="1:19" ht="36" thickTop="1" thickBot="1" x14ac:dyDescent="0.25">
      <c r="A11" s="31">
        <v>2267</v>
      </c>
      <c r="B11" s="32" t="s">
        <v>191</v>
      </c>
      <c r="C11" s="32" t="s">
        <v>106</v>
      </c>
      <c r="D11" s="32">
        <v>1</v>
      </c>
      <c r="E11" s="32">
        <v>2</v>
      </c>
      <c r="F11" s="32">
        <v>2</v>
      </c>
      <c r="G11" s="32" t="s">
        <v>73</v>
      </c>
      <c r="H11" s="11">
        <v>100</v>
      </c>
      <c r="I11" s="32"/>
      <c r="J11" s="34"/>
      <c r="K11" s="34"/>
      <c r="L11" s="35"/>
      <c r="M11" s="9"/>
      <c r="N11" s="9"/>
      <c r="O11" s="9"/>
      <c r="P11" s="9"/>
      <c r="Q11" s="9"/>
      <c r="R11" s="9"/>
      <c r="S11" s="9"/>
    </row>
    <row r="12" spans="1:19" ht="36" thickTop="1" thickBot="1" x14ac:dyDescent="0.25">
      <c r="A12" s="31">
        <v>2268</v>
      </c>
      <c r="B12" s="32" t="s">
        <v>185</v>
      </c>
      <c r="C12" s="32" t="s">
        <v>106</v>
      </c>
      <c r="D12" s="32">
        <v>1</v>
      </c>
      <c r="E12" s="32">
        <v>2</v>
      </c>
      <c r="F12" s="32">
        <v>60</v>
      </c>
      <c r="G12" s="32" t="s">
        <v>73</v>
      </c>
      <c r="H12" s="11">
        <v>100</v>
      </c>
      <c r="I12" s="32"/>
      <c r="J12" s="34"/>
      <c r="K12" s="34"/>
      <c r="L12" s="35"/>
      <c r="M12" s="9"/>
      <c r="N12" s="9"/>
      <c r="O12" s="9"/>
      <c r="P12" s="9"/>
      <c r="Q12" s="9"/>
      <c r="R12" s="9"/>
      <c r="S12" s="9"/>
    </row>
    <row r="13" spans="1:19" ht="36" thickTop="1" thickBot="1" x14ac:dyDescent="0.25">
      <c r="A13" s="31">
        <v>2305</v>
      </c>
      <c r="B13" s="32" t="s">
        <v>185</v>
      </c>
      <c r="C13" s="32" t="s">
        <v>22</v>
      </c>
      <c r="D13" s="32">
        <v>150</v>
      </c>
      <c r="E13" s="32">
        <v>36</v>
      </c>
      <c r="F13" s="32">
        <v>2</v>
      </c>
      <c r="G13" s="32" t="s">
        <v>73</v>
      </c>
      <c r="H13" s="11">
        <v>100</v>
      </c>
      <c r="I13" s="32" t="s">
        <v>192</v>
      </c>
      <c r="J13" s="36"/>
      <c r="K13" s="34"/>
      <c r="L13" s="37"/>
      <c r="M13" s="9"/>
      <c r="N13" s="9"/>
      <c r="O13" s="9"/>
      <c r="P13" s="9"/>
      <c r="Q13" s="9"/>
      <c r="R13" s="9"/>
      <c r="S13" s="9"/>
    </row>
    <row r="14" spans="1:19" ht="36" thickTop="1" thickBot="1" x14ac:dyDescent="0.25">
      <c r="A14" s="31">
        <v>2306</v>
      </c>
      <c r="B14" s="32" t="s">
        <v>185</v>
      </c>
      <c r="C14" s="32" t="s">
        <v>22</v>
      </c>
      <c r="D14" s="32">
        <v>150</v>
      </c>
      <c r="E14" s="32">
        <v>32</v>
      </c>
      <c r="F14" s="32">
        <v>2</v>
      </c>
      <c r="G14" s="32" t="s">
        <v>73</v>
      </c>
      <c r="H14" s="11">
        <v>100</v>
      </c>
      <c r="I14" s="32" t="s">
        <v>192</v>
      </c>
      <c r="J14" s="36"/>
      <c r="K14" s="34"/>
      <c r="L14" s="37"/>
      <c r="M14" s="9"/>
      <c r="N14" s="9"/>
      <c r="O14" s="9"/>
      <c r="P14" s="9"/>
      <c r="Q14" s="9"/>
      <c r="R14" s="9"/>
      <c r="S14" s="9"/>
    </row>
    <row r="15" spans="1:19" ht="36" thickTop="1" thickBot="1" x14ac:dyDescent="0.25">
      <c r="A15" s="31">
        <v>2307</v>
      </c>
      <c r="B15" s="32" t="s">
        <v>185</v>
      </c>
      <c r="C15" s="32" t="s">
        <v>22</v>
      </c>
      <c r="D15" s="32">
        <v>150</v>
      </c>
      <c r="E15" s="32">
        <v>28</v>
      </c>
      <c r="F15" s="32">
        <v>2</v>
      </c>
      <c r="G15" s="32" t="s">
        <v>73</v>
      </c>
      <c r="H15" s="11">
        <v>100</v>
      </c>
      <c r="I15" s="32" t="s">
        <v>192</v>
      </c>
      <c r="J15" s="36"/>
      <c r="K15" s="34"/>
      <c r="L15" s="37"/>
      <c r="M15" s="9"/>
      <c r="N15" s="9"/>
      <c r="O15" s="9"/>
      <c r="P15" s="9"/>
      <c r="Q15" s="9"/>
      <c r="R15" s="9"/>
      <c r="S15" s="9"/>
    </row>
    <row r="16" spans="1:19" ht="121" thickTop="1" thickBot="1" x14ac:dyDescent="0.25">
      <c r="A16" s="31">
        <v>2308</v>
      </c>
      <c r="B16" s="32" t="s">
        <v>185</v>
      </c>
      <c r="C16" s="32" t="s">
        <v>22</v>
      </c>
      <c r="D16" s="32">
        <v>150</v>
      </c>
      <c r="E16" s="32">
        <v>36</v>
      </c>
      <c r="F16" s="32">
        <v>2</v>
      </c>
      <c r="G16" s="32" t="s">
        <v>73</v>
      </c>
      <c r="H16" s="11">
        <v>100</v>
      </c>
      <c r="I16" s="32" t="s">
        <v>193</v>
      </c>
      <c r="J16" s="30"/>
      <c r="K16" s="30"/>
      <c r="L16" s="38"/>
      <c r="M16" s="9"/>
      <c r="N16" s="9"/>
      <c r="O16" s="9"/>
      <c r="P16" s="9"/>
      <c r="Q16" s="9"/>
      <c r="R16" s="9"/>
      <c r="S16" s="9"/>
    </row>
    <row r="17" spans="1:19" ht="87" thickTop="1" thickBot="1" x14ac:dyDescent="0.25">
      <c r="A17" s="31">
        <v>2309</v>
      </c>
      <c r="B17" s="32" t="s">
        <v>185</v>
      </c>
      <c r="C17" s="32" t="s">
        <v>22</v>
      </c>
      <c r="D17" s="32">
        <v>150</v>
      </c>
      <c r="E17" s="32">
        <v>36</v>
      </c>
      <c r="F17" s="32">
        <v>2</v>
      </c>
      <c r="G17" s="32" t="s">
        <v>73</v>
      </c>
      <c r="H17" s="11">
        <v>100</v>
      </c>
      <c r="I17" s="32" t="s">
        <v>194</v>
      </c>
      <c r="J17" s="34"/>
      <c r="K17" s="34"/>
      <c r="L17" s="37"/>
      <c r="M17" s="9"/>
      <c r="N17" s="9"/>
      <c r="O17" s="9"/>
      <c r="P17" s="9"/>
      <c r="Q17" s="9"/>
      <c r="R17" s="9"/>
      <c r="S17" s="9"/>
    </row>
    <row r="18" spans="1:19" ht="155" thickTop="1" thickBot="1" x14ac:dyDescent="0.25">
      <c r="A18" s="31">
        <v>2310</v>
      </c>
      <c r="B18" s="32" t="s">
        <v>185</v>
      </c>
      <c r="C18" s="32" t="s">
        <v>22</v>
      </c>
      <c r="D18" s="32">
        <v>160</v>
      </c>
      <c r="E18" s="32">
        <v>36</v>
      </c>
      <c r="F18" s="32">
        <v>2</v>
      </c>
      <c r="G18" s="32" t="s">
        <v>73</v>
      </c>
      <c r="H18" s="11">
        <v>100</v>
      </c>
      <c r="I18" s="32" t="s">
        <v>195</v>
      </c>
      <c r="J18" s="30"/>
      <c r="K18" s="30"/>
      <c r="L18" s="38"/>
      <c r="M18" s="9"/>
      <c r="N18" s="9"/>
      <c r="O18" s="9"/>
      <c r="P18" s="9"/>
      <c r="Q18" s="9"/>
      <c r="R18" s="9"/>
      <c r="S18" s="9"/>
    </row>
    <row r="19" spans="1:19" ht="138" thickTop="1" thickBot="1" x14ac:dyDescent="0.25">
      <c r="A19" s="31">
        <v>2311</v>
      </c>
      <c r="B19" s="32" t="s">
        <v>185</v>
      </c>
      <c r="C19" s="32" t="s">
        <v>22</v>
      </c>
      <c r="D19" s="32">
        <v>160</v>
      </c>
      <c r="E19" s="32">
        <v>32</v>
      </c>
      <c r="F19" s="32">
        <v>2</v>
      </c>
      <c r="G19" s="32" t="s">
        <v>73</v>
      </c>
      <c r="H19" s="11">
        <v>100</v>
      </c>
      <c r="I19" s="32" t="s">
        <v>196</v>
      </c>
      <c r="J19" s="30"/>
      <c r="K19" s="30"/>
      <c r="L19" s="38"/>
      <c r="M19" s="9"/>
      <c r="N19" s="9"/>
      <c r="O19" s="9"/>
      <c r="P19" s="9"/>
      <c r="Q19" s="9"/>
      <c r="R19" s="9"/>
      <c r="S19" s="9"/>
    </row>
    <row r="20" spans="1:19" ht="53" thickTop="1" thickBot="1" x14ac:dyDescent="0.25">
      <c r="A20" s="31">
        <v>2326</v>
      </c>
      <c r="B20" s="32" t="s">
        <v>197</v>
      </c>
      <c r="C20" s="32" t="s">
        <v>198</v>
      </c>
      <c r="D20" s="32">
        <v>170</v>
      </c>
      <c r="E20" s="32">
        <v>35</v>
      </c>
      <c r="F20" s="32">
        <v>1</v>
      </c>
      <c r="G20" s="32" t="s">
        <v>73</v>
      </c>
      <c r="H20" s="11">
        <v>100</v>
      </c>
      <c r="I20" s="39"/>
      <c r="J20" s="34"/>
      <c r="K20" s="40" t="s">
        <v>106</v>
      </c>
      <c r="L20" s="37"/>
      <c r="M20" s="9"/>
      <c r="N20" s="9"/>
      <c r="O20" s="9"/>
      <c r="P20" s="9"/>
      <c r="Q20" s="9"/>
      <c r="R20" s="9"/>
      <c r="S20" s="9"/>
    </row>
    <row r="21" spans="1:19" ht="53" thickTop="1" thickBot="1" x14ac:dyDescent="0.25">
      <c r="A21" s="31">
        <v>2327</v>
      </c>
      <c r="B21" s="32" t="s">
        <v>199</v>
      </c>
      <c r="C21" s="32" t="s">
        <v>200</v>
      </c>
      <c r="D21" s="32">
        <v>160</v>
      </c>
      <c r="E21" s="32">
        <v>35</v>
      </c>
      <c r="F21" s="32">
        <v>1</v>
      </c>
      <c r="G21" s="32" t="s">
        <v>73</v>
      </c>
      <c r="H21" s="11">
        <v>100</v>
      </c>
      <c r="I21" s="39"/>
      <c r="J21" s="34"/>
      <c r="K21" s="40" t="s">
        <v>22</v>
      </c>
      <c r="L21" s="37"/>
      <c r="M21" s="9"/>
      <c r="N21" s="9"/>
      <c r="O21" s="9"/>
      <c r="P21" s="9"/>
      <c r="Q21" s="9"/>
      <c r="R21" s="9"/>
      <c r="S21" s="9"/>
    </row>
    <row r="22" spans="1:19" ht="53" thickTop="1" thickBot="1" x14ac:dyDescent="0.25">
      <c r="A22" s="31">
        <v>2345</v>
      </c>
      <c r="B22" s="32" t="s">
        <v>185</v>
      </c>
      <c r="C22" s="32" t="s">
        <v>201</v>
      </c>
      <c r="D22" s="32">
        <v>140</v>
      </c>
      <c r="E22" s="32">
        <v>36</v>
      </c>
      <c r="F22" s="32">
        <v>2</v>
      </c>
      <c r="G22" s="32" t="s">
        <v>73</v>
      </c>
      <c r="H22" s="11">
        <v>100</v>
      </c>
      <c r="I22" s="39"/>
      <c r="J22" s="36"/>
      <c r="K22" s="40" t="s">
        <v>22</v>
      </c>
      <c r="L22" s="37"/>
      <c r="M22" s="9"/>
      <c r="N22" s="9"/>
      <c r="O22" s="9"/>
      <c r="P22" s="9"/>
      <c r="Q22" s="9"/>
      <c r="R22" s="9"/>
      <c r="S22" s="9"/>
    </row>
    <row r="23" spans="1:19" ht="53" thickTop="1" thickBot="1" x14ac:dyDescent="0.25">
      <c r="A23" s="31">
        <v>2346</v>
      </c>
      <c r="B23" s="32" t="s">
        <v>185</v>
      </c>
      <c r="C23" s="32" t="s">
        <v>201</v>
      </c>
      <c r="D23" s="32">
        <v>140</v>
      </c>
      <c r="E23" s="32">
        <v>38</v>
      </c>
      <c r="F23" s="32">
        <v>2</v>
      </c>
      <c r="G23" s="32" t="s">
        <v>73</v>
      </c>
      <c r="H23" s="11">
        <v>100</v>
      </c>
      <c r="I23" s="39"/>
      <c r="J23" s="36"/>
      <c r="K23" s="40" t="s">
        <v>22</v>
      </c>
      <c r="L23" s="37"/>
      <c r="M23" s="9"/>
      <c r="N23" s="9"/>
      <c r="O23" s="9"/>
      <c r="P23" s="9"/>
      <c r="Q23" s="9"/>
      <c r="R23" s="9"/>
      <c r="S23" s="9"/>
    </row>
    <row r="24" spans="1:19" ht="53" thickTop="1" thickBot="1" x14ac:dyDescent="0.25">
      <c r="A24" s="31">
        <v>2347</v>
      </c>
      <c r="B24" s="32" t="s">
        <v>185</v>
      </c>
      <c r="C24" s="32" t="s">
        <v>201</v>
      </c>
      <c r="D24" s="32">
        <v>140</v>
      </c>
      <c r="E24" s="32">
        <v>38</v>
      </c>
      <c r="F24" s="32">
        <v>2</v>
      </c>
      <c r="G24" s="32" t="s">
        <v>73</v>
      </c>
      <c r="H24" s="11">
        <v>100</v>
      </c>
      <c r="I24" s="39"/>
      <c r="J24" s="34"/>
      <c r="K24" s="40" t="s">
        <v>22</v>
      </c>
      <c r="L24" s="37"/>
      <c r="M24" s="9"/>
      <c r="N24" s="9"/>
      <c r="O24" s="9"/>
      <c r="P24" s="9"/>
      <c r="Q24" s="9"/>
      <c r="R24" s="9"/>
      <c r="S24" s="9"/>
    </row>
    <row r="25" spans="1:19" ht="36" thickTop="1" thickBot="1" x14ac:dyDescent="0.25">
      <c r="A25" s="31">
        <v>2348</v>
      </c>
      <c r="B25" s="32" t="s">
        <v>185</v>
      </c>
      <c r="C25" s="32" t="s">
        <v>22</v>
      </c>
      <c r="D25" s="32">
        <v>140</v>
      </c>
      <c r="E25" s="32">
        <v>36</v>
      </c>
      <c r="F25" s="32">
        <v>2</v>
      </c>
      <c r="G25" s="32" t="s">
        <v>61</v>
      </c>
      <c r="H25" s="11">
        <v>100</v>
      </c>
      <c r="I25" s="39"/>
      <c r="J25" s="36"/>
      <c r="K25" s="34"/>
      <c r="L25" s="37"/>
      <c r="M25" s="9"/>
      <c r="N25" s="9"/>
      <c r="O25" s="9"/>
      <c r="P25" s="9"/>
      <c r="Q25" s="9"/>
      <c r="R25" s="9"/>
      <c r="S25" s="9"/>
    </row>
    <row r="26" spans="1:19" ht="70" thickTop="1" thickBot="1" x14ac:dyDescent="0.25">
      <c r="A26" s="31">
        <v>2349</v>
      </c>
      <c r="B26" s="32" t="s">
        <v>185</v>
      </c>
      <c r="C26" s="32" t="s">
        <v>202</v>
      </c>
      <c r="D26" s="32">
        <v>140</v>
      </c>
      <c r="E26" s="32">
        <v>38</v>
      </c>
      <c r="F26" s="32">
        <v>2</v>
      </c>
      <c r="G26" s="32" t="s">
        <v>61</v>
      </c>
      <c r="H26" s="11">
        <v>100</v>
      </c>
      <c r="I26" s="39"/>
      <c r="J26" s="36"/>
      <c r="K26" s="40" t="s">
        <v>106</v>
      </c>
      <c r="L26" s="37"/>
      <c r="M26" s="9"/>
      <c r="N26" s="9"/>
      <c r="O26" s="9"/>
      <c r="P26" s="9"/>
      <c r="Q26" s="9"/>
      <c r="R26" s="9"/>
      <c r="S26" s="9"/>
    </row>
    <row r="27" spans="1:19" ht="53" thickTop="1" thickBot="1" x14ac:dyDescent="0.25">
      <c r="A27" s="31">
        <v>2350</v>
      </c>
      <c r="B27" s="32" t="s">
        <v>185</v>
      </c>
      <c r="C27" s="32" t="s">
        <v>203</v>
      </c>
      <c r="D27" s="32">
        <v>160</v>
      </c>
      <c r="E27" s="32">
        <v>34</v>
      </c>
      <c r="F27" s="32">
        <v>2</v>
      </c>
      <c r="G27" s="32" t="s">
        <v>61</v>
      </c>
      <c r="H27" s="11">
        <v>100</v>
      </c>
      <c r="I27" s="39"/>
      <c r="J27" s="34"/>
      <c r="K27" s="34"/>
      <c r="L27" s="37"/>
      <c r="M27" s="9"/>
      <c r="N27" s="9"/>
      <c r="O27" s="9"/>
      <c r="P27" s="9"/>
      <c r="Q27" s="9"/>
      <c r="R27" s="9"/>
      <c r="S27" s="9"/>
    </row>
    <row r="28" spans="1:19" ht="36" thickTop="1" thickBot="1" x14ac:dyDescent="0.25">
      <c r="A28" s="31">
        <v>2367</v>
      </c>
      <c r="B28" s="32" t="s">
        <v>185</v>
      </c>
      <c r="C28" s="32" t="s">
        <v>204</v>
      </c>
      <c r="D28" s="32">
        <v>1</v>
      </c>
      <c r="E28" s="32">
        <v>36</v>
      </c>
      <c r="F28" s="32">
        <v>10</v>
      </c>
      <c r="G28" s="32" t="s">
        <v>71</v>
      </c>
      <c r="H28" s="11">
        <v>100</v>
      </c>
      <c r="I28" s="33"/>
      <c r="J28" s="34"/>
      <c r="K28" s="34"/>
      <c r="L28" s="35"/>
      <c r="M28" s="9"/>
      <c r="N28" s="9"/>
      <c r="O28" s="9"/>
      <c r="P28" s="9"/>
      <c r="Q28" s="9"/>
      <c r="R28" s="9"/>
      <c r="S28" s="9"/>
    </row>
    <row r="29" spans="1:19" ht="36" thickTop="1" thickBot="1" x14ac:dyDescent="0.25">
      <c r="A29" s="31">
        <v>2368</v>
      </c>
      <c r="B29" s="32" t="s">
        <v>185</v>
      </c>
      <c r="C29" s="32" t="s">
        <v>205</v>
      </c>
      <c r="D29" s="32">
        <v>1</v>
      </c>
      <c r="E29" s="32">
        <v>36</v>
      </c>
      <c r="F29" s="32">
        <v>10</v>
      </c>
      <c r="G29" s="32" t="s">
        <v>61</v>
      </c>
      <c r="H29" s="11">
        <v>100</v>
      </c>
      <c r="I29" s="33"/>
      <c r="J29" s="34"/>
      <c r="K29" s="34"/>
      <c r="L29" s="35"/>
      <c r="M29" s="9"/>
      <c r="N29" s="9"/>
      <c r="O29" s="9"/>
      <c r="P29" s="9"/>
      <c r="Q29" s="9"/>
      <c r="R29" s="9"/>
      <c r="S29" s="9"/>
    </row>
    <row r="30" spans="1:19" ht="36" thickTop="1" thickBot="1" x14ac:dyDescent="0.25">
      <c r="A30" s="31">
        <v>2369</v>
      </c>
      <c r="B30" s="32" t="s">
        <v>185</v>
      </c>
      <c r="C30" s="32" t="s">
        <v>205</v>
      </c>
      <c r="D30" s="32">
        <v>1</v>
      </c>
      <c r="E30" s="32">
        <v>28</v>
      </c>
      <c r="F30" s="32">
        <v>10</v>
      </c>
      <c r="G30" s="32" t="s">
        <v>61</v>
      </c>
      <c r="H30" s="11">
        <v>100</v>
      </c>
      <c r="I30" s="33"/>
      <c r="J30" s="34"/>
      <c r="K30" s="34"/>
      <c r="L30" s="35"/>
      <c r="M30" s="9"/>
      <c r="N30" s="9"/>
      <c r="O30" s="9"/>
      <c r="P30" s="9"/>
      <c r="Q30" s="9"/>
      <c r="R30" s="9"/>
      <c r="S30" s="9"/>
    </row>
    <row r="31" spans="1:19" ht="36" thickTop="1" thickBot="1" x14ac:dyDescent="0.25">
      <c r="A31" s="31">
        <v>2370</v>
      </c>
      <c r="B31" s="32" t="s">
        <v>185</v>
      </c>
      <c r="C31" s="32" t="s">
        <v>205</v>
      </c>
      <c r="D31" s="32">
        <v>1</v>
      </c>
      <c r="E31" s="32">
        <v>28</v>
      </c>
      <c r="F31" s="32">
        <v>10</v>
      </c>
      <c r="G31" s="32" t="s">
        <v>61</v>
      </c>
      <c r="H31" s="11">
        <v>100</v>
      </c>
      <c r="I31" s="33"/>
      <c r="J31" s="34"/>
      <c r="K31" s="34"/>
      <c r="L31" s="35"/>
      <c r="M31" s="9"/>
      <c r="N31" s="9"/>
      <c r="O31" s="9"/>
      <c r="P31" s="9"/>
      <c r="Q31" s="9"/>
      <c r="R31" s="9"/>
      <c r="S31" s="9"/>
    </row>
    <row r="32" spans="1:19" ht="36" thickTop="1" thickBot="1" x14ac:dyDescent="0.25">
      <c r="A32" s="31">
        <v>2371</v>
      </c>
      <c r="B32" s="32" t="s">
        <v>185</v>
      </c>
      <c r="C32" s="32" t="s">
        <v>205</v>
      </c>
      <c r="D32" s="32">
        <v>1</v>
      </c>
      <c r="E32" s="32">
        <v>36</v>
      </c>
      <c r="F32" s="32">
        <v>10</v>
      </c>
      <c r="G32" s="32" t="s">
        <v>61</v>
      </c>
      <c r="H32" s="11">
        <v>100</v>
      </c>
      <c r="I32" s="33"/>
      <c r="J32" s="34"/>
      <c r="K32" s="34"/>
      <c r="L32" s="35"/>
      <c r="M32" s="9"/>
      <c r="N32" s="9"/>
      <c r="O32" s="9"/>
      <c r="P32" s="9"/>
      <c r="Q32" s="9"/>
      <c r="R32" s="9"/>
      <c r="S32" s="9"/>
    </row>
    <row r="33" spans="1:19" ht="36" thickTop="1" thickBot="1" x14ac:dyDescent="0.25">
      <c r="A33" s="31">
        <v>2372</v>
      </c>
      <c r="B33" s="32" t="s">
        <v>185</v>
      </c>
      <c r="C33" s="32" t="s">
        <v>206</v>
      </c>
      <c r="D33" s="32">
        <v>150</v>
      </c>
      <c r="E33" s="32">
        <v>36</v>
      </c>
      <c r="F33" s="32">
        <v>2</v>
      </c>
      <c r="G33" s="32" t="s">
        <v>61</v>
      </c>
      <c r="H33" s="11">
        <v>100</v>
      </c>
      <c r="I33" s="39"/>
      <c r="J33" s="36"/>
      <c r="K33" s="34"/>
      <c r="L33" s="37"/>
      <c r="M33" s="9"/>
      <c r="N33" s="9"/>
      <c r="O33" s="9"/>
      <c r="P33" s="9"/>
      <c r="Q33" s="9"/>
      <c r="R33" s="9"/>
      <c r="S33" s="9"/>
    </row>
    <row r="34" spans="1:19" ht="36" thickTop="1" thickBot="1" x14ac:dyDescent="0.25">
      <c r="A34" s="31">
        <v>2373</v>
      </c>
      <c r="B34" s="32" t="s">
        <v>185</v>
      </c>
      <c r="C34" s="32" t="s">
        <v>206</v>
      </c>
      <c r="D34" s="32">
        <v>150</v>
      </c>
      <c r="E34" s="32">
        <v>36</v>
      </c>
      <c r="F34" s="32">
        <v>2</v>
      </c>
      <c r="G34" s="32" t="s">
        <v>207</v>
      </c>
      <c r="H34" s="11">
        <v>100</v>
      </c>
      <c r="I34" s="39"/>
      <c r="J34" s="36"/>
      <c r="K34" s="34"/>
      <c r="L34" s="37"/>
      <c r="M34" s="9"/>
      <c r="N34" s="9"/>
      <c r="O34" s="9"/>
      <c r="P34" s="9"/>
      <c r="Q34" s="9"/>
      <c r="R34" s="9"/>
      <c r="S34" s="9"/>
    </row>
    <row r="35" spans="1:19" ht="36" thickTop="1" thickBot="1" x14ac:dyDescent="0.25">
      <c r="A35" s="31">
        <v>2374</v>
      </c>
      <c r="B35" s="32" t="s">
        <v>185</v>
      </c>
      <c r="C35" s="32" t="s">
        <v>206</v>
      </c>
      <c r="D35" s="32">
        <v>150</v>
      </c>
      <c r="E35" s="32">
        <v>36</v>
      </c>
      <c r="F35" s="32">
        <v>2</v>
      </c>
      <c r="G35" s="32" t="s">
        <v>15</v>
      </c>
      <c r="H35" s="11">
        <v>100</v>
      </c>
      <c r="I35" s="39"/>
      <c r="J35" s="36"/>
      <c r="K35" s="34"/>
      <c r="L35" s="37"/>
      <c r="M35" s="9"/>
      <c r="N35" s="9"/>
      <c r="O35" s="9"/>
      <c r="P35" s="9"/>
      <c r="Q35" s="9"/>
      <c r="R35" s="9"/>
      <c r="S35" s="9"/>
    </row>
    <row r="36" spans="1:19" ht="36" thickTop="1" thickBot="1" x14ac:dyDescent="0.25">
      <c r="A36" s="31">
        <v>2375</v>
      </c>
      <c r="B36" s="32" t="s">
        <v>197</v>
      </c>
      <c r="C36" s="32" t="s">
        <v>208</v>
      </c>
      <c r="D36" s="32">
        <v>100</v>
      </c>
      <c r="E36" s="32">
        <v>32</v>
      </c>
      <c r="F36" s="32">
        <v>2</v>
      </c>
      <c r="G36" s="32" t="s">
        <v>73</v>
      </c>
      <c r="H36" s="11">
        <v>100</v>
      </c>
      <c r="I36" s="32" t="s">
        <v>209</v>
      </c>
      <c r="J36" s="34"/>
      <c r="K36" s="34"/>
      <c r="L36" s="37"/>
      <c r="M36" s="9"/>
      <c r="N36" s="9"/>
      <c r="O36" s="9"/>
      <c r="P36" s="9"/>
      <c r="Q36" s="9"/>
      <c r="R36" s="9"/>
      <c r="S36" s="9"/>
    </row>
    <row r="37" spans="1:19" ht="53" thickTop="1" thickBot="1" x14ac:dyDescent="0.25">
      <c r="A37" s="31">
        <v>2376</v>
      </c>
      <c r="B37" s="32" t="s">
        <v>197</v>
      </c>
      <c r="C37" s="32" t="s">
        <v>208</v>
      </c>
      <c r="D37" s="32">
        <v>45</v>
      </c>
      <c r="E37" s="32">
        <v>32</v>
      </c>
      <c r="F37" s="32">
        <v>2</v>
      </c>
      <c r="G37" s="32" t="s">
        <v>73</v>
      </c>
      <c r="H37" s="11">
        <v>100</v>
      </c>
      <c r="I37" s="32" t="s">
        <v>210</v>
      </c>
      <c r="J37" s="34"/>
      <c r="K37" s="34"/>
      <c r="L37" s="37"/>
      <c r="M37" s="9"/>
      <c r="N37" s="9"/>
      <c r="O37" s="9"/>
      <c r="P37" s="9"/>
      <c r="Q37" s="9"/>
      <c r="R37" s="9"/>
      <c r="S37" s="9"/>
    </row>
    <row r="38" spans="1:19" ht="36" thickTop="1" thickBot="1" x14ac:dyDescent="0.25">
      <c r="A38" s="31">
        <v>2377</v>
      </c>
      <c r="B38" s="32" t="s">
        <v>197</v>
      </c>
      <c r="C38" s="32" t="s">
        <v>208</v>
      </c>
      <c r="D38" s="32">
        <v>60</v>
      </c>
      <c r="E38" s="32">
        <v>32</v>
      </c>
      <c r="F38" s="32">
        <v>2</v>
      </c>
      <c r="G38" s="32" t="s">
        <v>73</v>
      </c>
      <c r="H38" s="11">
        <v>100</v>
      </c>
      <c r="I38" s="32" t="s">
        <v>211</v>
      </c>
      <c r="J38" s="34"/>
      <c r="K38" s="34"/>
      <c r="L38" s="37"/>
      <c r="M38" s="9"/>
      <c r="N38" s="9"/>
      <c r="O38" s="9"/>
      <c r="P38" s="9"/>
      <c r="Q38" s="9"/>
      <c r="R38" s="9"/>
      <c r="S38" s="9"/>
    </row>
    <row r="39" spans="1:19" ht="53" thickTop="1" thickBot="1" x14ac:dyDescent="0.25">
      <c r="A39" s="31">
        <v>2385</v>
      </c>
      <c r="B39" s="32" t="s">
        <v>212</v>
      </c>
      <c r="C39" s="32" t="s">
        <v>213</v>
      </c>
      <c r="D39" s="32">
        <v>45</v>
      </c>
      <c r="E39" s="32">
        <v>32</v>
      </c>
      <c r="F39" s="32">
        <v>4</v>
      </c>
      <c r="G39" s="32" t="s">
        <v>207</v>
      </c>
      <c r="H39" s="11">
        <v>100</v>
      </c>
      <c r="I39" s="32" t="s">
        <v>214</v>
      </c>
      <c r="J39" s="34"/>
      <c r="K39" s="34"/>
      <c r="L39" s="34"/>
      <c r="M39" s="9"/>
      <c r="N39" s="9"/>
      <c r="O39" s="9"/>
      <c r="P39" s="9"/>
      <c r="Q39" s="9"/>
      <c r="R39" s="9"/>
      <c r="S39" s="9"/>
    </row>
    <row r="40" spans="1:19" ht="36" thickTop="1" thickBot="1" x14ac:dyDescent="0.25">
      <c r="A40" s="31">
        <v>2386</v>
      </c>
      <c r="B40" s="32" t="s">
        <v>212</v>
      </c>
      <c r="C40" s="32" t="s">
        <v>208</v>
      </c>
      <c r="D40" s="32">
        <v>60</v>
      </c>
      <c r="E40" s="32">
        <v>32</v>
      </c>
      <c r="F40" s="32">
        <v>4</v>
      </c>
      <c r="G40" s="32" t="s">
        <v>207</v>
      </c>
      <c r="H40" s="11">
        <v>100</v>
      </c>
      <c r="I40" s="32" t="s">
        <v>215</v>
      </c>
      <c r="J40" s="29"/>
      <c r="K40" s="30"/>
      <c r="L40" s="30"/>
      <c r="M40" s="9"/>
      <c r="N40" s="9"/>
      <c r="O40" s="9"/>
      <c r="P40" s="9"/>
      <c r="Q40" s="9"/>
      <c r="R40" s="9"/>
      <c r="S40" s="9"/>
    </row>
    <row r="41" spans="1:19" ht="36" thickTop="1" thickBot="1" x14ac:dyDescent="0.25">
      <c r="A41" s="31">
        <v>2387</v>
      </c>
      <c r="B41" s="32" t="s">
        <v>212</v>
      </c>
      <c r="C41" s="32" t="s">
        <v>208</v>
      </c>
      <c r="D41" s="32">
        <v>60</v>
      </c>
      <c r="E41" s="32">
        <v>30</v>
      </c>
      <c r="F41" s="32">
        <v>4</v>
      </c>
      <c r="G41" s="32" t="s">
        <v>207</v>
      </c>
      <c r="H41" s="11">
        <v>100</v>
      </c>
      <c r="I41" s="32" t="s">
        <v>216</v>
      </c>
      <c r="J41" s="34"/>
      <c r="K41" s="34"/>
      <c r="L41" s="34"/>
      <c r="M41" s="9"/>
      <c r="N41" s="9"/>
      <c r="O41" s="9"/>
      <c r="P41" s="9"/>
      <c r="Q41" s="9"/>
      <c r="R41" s="9"/>
      <c r="S41" s="9"/>
    </row>
    <row r="42" spans="1:19" ht="36" thickTop="1" thickBot="1" x14ac:dyDescent="0.25">
      <c r="A42" s="31">
        <v>2388</v>
      </c>
      <c r="B42" s="32" t="s">
        <v>212</v>
      </c>
      <c r="C42" s="32" t="s">
        <v>208</v>
      </c>
      <c r="D42" s="32">
        <v>25</v>
      </c>
      <c r="E42" s="32">
        <v>31</v>
      </c>
      <c r="F42" s="32">
        <v>4</v>
      </c>
      <c r="G42" s="32" t="s">
        <v>207</v>
      </c>
      <c r="H42" s="11">
        <v>100</v>
      </c>
      <c r="I42" s="32"/>
      <c r="J42" s="34"/>
      <c r="K42" s="34"/>
      <c r="L42" s="34"/>
      <c r="M42" s="9"/>
      <c r="N42" s="9"/>
      <c r="O42" s="9"/>
      <c r="P42" s="9"/>
      <c r="Q42" s="9"/>
      <c r="R42" s="9"/>
      <c r="S42" s="9"/>
    </row>
    <row r="43" spans="1:19" ht="36" thickTop="1" thickBot="1" x14ac:dyDescent="0.25">
      <c r="A43" s="31">
        <v>2389</v>
      </c>
      <c r="B43" s="32" t="s">
        <v>185</v>
      </c>
      <c r="C43" s="32" t="s">
        <v>22</v>
      </c>
      <c r="D43" s="32">
        <v>160</v>
      </c>
      <c r="E43" s="32">
        <v>36</v>
      </c>
      <c r="F43" s="32">
        <v>2</v>
      </c>
      <c r="G43" s="32" t="s">
        <v>15</v>
      </c>
      <c r="H43" s="11">
        <v>100</v>
      </c>
      <c r="I43" s="32"/>
      <c r="J43" s="34"/>
      <c r="K43" s="34"/>
      <c r="L43" s="37"/>
      <c r="M43" s="9"/>
      <c r="N43" s="9"/>
      <c r="O43" s="9"/>
      <c r="P43" s="9"/>
      <c r="Q43" s="9"/>
      <c r="R43" s="9"/>
      <c r="S43" s="9"/>
    </row>
    <row r="44" spans="1:19" ht="36" thickTop="1" thickBot="1" x14ac:dyDescent="0.25">
      <c r="A44" s="31">
        <v>2390</v>
      </c>
      <c r="B44" s="32" t="s">
        <v>185</v>
      </c>
      <c r="C44" s="32" t="s">
        <v>22</v>
      </c>
      <c r="D44" s="32">
        <v>170</v>
      </c>
      <c r="E44" s="32">
        <v>38</v>
      </c>
      <c r="F44" s="32">
        <v>2</v>
      </c>
      <c r="G44" s="32" t="s">
        <v>207</v>
      </c>
      <c r="H44" s="11">
        <v>100</v>
      </c>
      <c r="I44" s="32"/>
      <c r="J44" s="34"/>
      <c r="K44" s="40" t="s">
        <v>106</v>
      </c>
      <c r="L44" s="37"/>
      <c r="M44" s="9"/>
      <c r="N44" s="9"/>
      <c r="O44" s="9"/>
      <c r="P44" s="9"/>
      <c r="Q44" s="9"/>
      <c r="R44" s="9"/>
      <c r="S44" s="9"/>
    </row>
    <row r="45" spans="1:19" ht="36" thickTop="1" thickBot="1" x14ac:dyDescent="0.25">
      <c r="A45" s="31">
        <v>2391</v>
      </c>
      <c r="B45" s="32" t="s">
        <v>185</v>
      </c>
      <c r="C45" s="32" t="s">
        <v>22</v>
      </c>
      <c r="D45" s="32">
        <v>160</v>
      </c>
      <c r="E45" s="32">
        <v>32</v>
      </c>
      <c r="F45" s="32">
        <v>2</v>
      </c>
      <c r="G45" s="32" t="s">
        <v>207</v>
      </c>
      <c r="H45" s="11">
        <v>100</v>
      </c>
      <c r="I45" s="32"/>
      <c r="J45" s="34"/>
      <c r="K45" s="40" t="s">
        <v>106</v>
      </c>
      <c r="L45" s="37"/>
      <c r="M45" s="9"/>
      <c r="N45" s="9"/>
      <c r="O45" s="9"/>
      <c r="P45" s="9"/>
      <c r="Q45" s="9"/>
      <c r="R45" s="9"/>
      <c r="S45" s="9"/>
    </row>
    <row r="46" spans="1:19" ht="36" thickTop="1" thickBot="1" x14ac:dyDescent="0.25">
      <c r="A46" s="31">
        <v>2392</v>
      </c>
      <c r="B46" s="32" t="s">
        <v>185</v>
      </c>
      <c r="C46" s="32" t="s">
        <v>22</v>
      </c>
      <c r="D46" s="32">
        <v>220</v>
      </c>
      <c r="E46" s="32">
        <v>29.5</v>
      </c>
      <c r="F46" s="32">
        <v>2</v>
      </c>
      <c r="G46" s="32" t="s">
        <v>207</v>
      </c>
      <c r="H46" s="11">
        <v>100</v>
      </c>
      <c r="I46" s="32"/>
      <c r="J46" s="34"/>
      <c r="K46" s="40" t="s">
        <v>106</v>
      </c>
      <c r="L46" s="37"/>
      <c r="M46" s="9"/>
      <c r="N46" s="9"/>
      <c r="O46" s="9"/>
      <c r="P46" s="9"/>
      <c r="Q46" s="9"/>
      <c r="R46" s="9"/>
      <c r="S46" s="9"/>
    </row>
    <row r="47" spans="1:19" ht="36" thickTop="1" thickBot="1" x14ac:dyDescent="0.25">
      <c r="A47" s="31">
        <v>2393</v>
      </c>
      <c r="B47" s="32" t="s">
        <v>185</v>
      </c>
      <c r="C47" s="32" t="s">
        <v>22</v>
      </c>
      <c r="D47" s="32">
        <v>240</v>
      </c>
      <c r="E47" s="32">
        <v>36</v>
      </c>
      <c r="F47" s="32">
        <v>2</v>
      </c>
      <c r="G47" s="32" t="s">
        <v>207</v>
      </c>
      <c r="H47" s="11">
        <v>100</v>
      </c>
      <c r="I47" s="32" t="s">
        <v>217</v>
      </c>
      <c r="J47" s="34"/>
      <c r="K47" s="40" t="s">
        <v>106</v>
      </c>
      <c r="L47" s="37"/>
      <c r="M47" s="9"/>
      <c r="N47" s="9"/>
      <c r="O47" s="9"/>
      <c r="P47" s="9"/>
      <c r="Q47" s="9"/>
      <c r="R47" s="9"/>
      <c r="S47" s="9"/>
    </row>
    <row r="48" spans="1:19" ht="70" thickTop="1" thickBot="1" x14ac:dyDescent="0.25">
      <c r="A48" s="31">
        <v>2394</v>
      </c>
      <c r="B48" s="32" t="s">
        <v>185</v>
      </c>
      <c r="C48" s="32" t="s">
        <v>22</v>
      </c>
      <c r="D48" s="32">
        <v>200</v>
      </c>
      <c r="E48" s="32">
        <v>36</v>
      </c>
      <c r="F48" s="32">
        <v>2</v>
      </c>
      <c r="G48" s="32" t="s">
        <v>207</v>
      </c>
      <c r="H48" s="11">
        <v>100</v>
      </c>
      <c r="I48" s="32" t="s">
        <v>218</v>
      </c>
      <c r="J48" s="34"/>
      <c r="K48" s="40" t="s">
        <v>106</v>
      </c>
      <c r="L48" s="37"/>
      <c r="M48" s="9"/>
      <c r="N48" s="9"/>
      <c r="O48" s="9"/>
      <c r="P48" s="9"/>
      <c r="Q48" s="9"/>
      <c r="R48" s="9"/>
      <c r="S48" s="9"/>
    </row>
    <row r="49" spans="1:19" ht="36" thickTop="1" thickBot="1" x14ac:dyDescent="0.25">
      <c r="A49" s="31">
        <v>2395</v>
      </c>
      <c r="B49" s="32" t="s">
        <v>185</v>
      </c>
      <c r="C49" s="32" t="s">
        <v>22</v>
      </c>
      <c r="D49" s="32">
        <v>150</v>
      </c>
      <c r="E49" s="32">
        <v>36</v>
      </c>
      <c r="F49" s="32">
        <v>2</v>
      </c>
      <c r="G49" s="32" t="s">
        <v>207</v>
      </c>
      <c r="H49" s="11">
        <v>100</v>
      </c>
      <c r="I49" s="39"/>
      <c r="J49" s="34"/>
      <c r="K49" s="34"/>
      <c r="L49" s="37"/>
      <c r="M49" s="9"/>
      <c r="N49" s="9"/>
      <c r="O49" s="9"/>
      <c r="P49" s="9"/>
      <c r="Q49" s="9"/>
      <c r="R49" s="9"/>
      <c r="S49" s="9"/>
    </row>
    <row r="50" spans="1:19" ht="36" thickTop="1" thickBot="1" x14ac:dyDescent="0.25">
      <c r="A50" s="31">
        <v>2396</v>
      </c>
      <c r="B50" s="32" t="s">
        <v>185</v>
      </c>
      <c r="C50" s="32" t="s">
        <v>22</v>
      </c>
      <c r="D50" s="32">
        <v>170</v>
      </c>
      <c r="E50" s="32">
        <v>36</v>
      </c>
      <c r="F50" s="32">
        <v>2</v>
      </c>
      <c r="G50" s="32" t="s">
        <v>58</v>
      </c>
      <c r="H50" s="11">
        <v>100</v>
      </c>
      <c r="I50" s="39"/>
      <c r="J50" s="34"/>
      <c r="K50" s="40" t="s">
        <v>106</v>
      </c>
      <c r="L50" s="37"/>
      <c r="M50" s="9"/>
      <c r="N50" s="9"/>
      <c r="O50" s="9"/>
      <c r="P50" s="9"/>
      <c r="Q50" s="9"/>
      <c r="R50" s="9"/>
      <c r="S50" s="9"/>
    </row>
    <row r="51" spans="1:19" ht="36" thickTop="1" thickBot="1" x14ac:dyDescent="0.25">
      <c r="A51" s="31">
        <v>2397</v>
      </c>
      <c r="B51" s="32" t="s">
        <v>185</v>
      </c>
      <c r="C51" s="32" t="s">
        <v>219</v>
      </c>
      <c r="D51" s="32">
        <v>250</v>
      </c>
      <c r="E51" s="32">
        <v>36</v>
      </c>
      <c r="F51" s="32">
        <v>2</v>
      </c>
      <c r="G51" s="32" t="s">
        <v>207</v>
      </c>
      <c r="H51" s="11">
        <v>100</v>
      </c>
      <c r="I51" s="41"/>
      <c r="J51" s="37"/>
      <c r="K51" s="40" t="s">
        <v>106</v>
      </c>
      <c r="L51" s="37"/>
      <c r="M51" s="9"/>
      <c r="N51" s="9"/>
      <c r="O51" s="9"/>
      <c r="P51" s="9"/>
      <c r="Q51" s="9"/>
      <c r="R51" s="9"/>
      <c r="S51" s="9"/>
    </row>
    <row r="52" spans="1:19" ht="36" thickTop="1" thickBot="1" x14ac:dyDescent="0.25">
      <c r="A52" s="31">
        <v>2398</v>
      </c>
      <c r="B52" s="32" t="s">
        <v>185</v>
      </c>
      <c r="C52" s="32" t="s">
        <v>219</v>
      </c>
      <c r="D52" s="32">
        <v>240</v>
      </c>
      <c r="E52" s="32">
        <v>34</v>
      </c>
      <c r="F52" s="32">
        <v>2</v>
      </c>
      <c r="G52" s="32" t="s">
        <v>207</v>
      </c>
      <c r="H52" s="11">
        <v>100</v>
      </c>
      <c r="I52" s="41"/>
      <c r="J52" s="36"/>
      <c r="K52" s="40" t="s">
        <v>106</v>
      </c>
      <c r="L52" s="37"/>
      <c r="M52" s="9"/>
      <c r="N52" s="9"/>
      <c r="O52" s="9"/>
      <c r="P52" s="9"/>
      <c r="Q52" s="9"/>
      <c r="R52" s="9"/>
      <c r="S52" s="9"/>
    </row>
    <row r="53" spans="1:19" ht="36" thickTop="1" thickBot="1" x14ac:dyDescent="0.25">
      <c r="A53" s="31" t="s">
        <v>220</v>
      </c>
      <c r="B53" s="32" t="s">
        <v>197</v>
      </c>
      <c r="C53" s="32" t="s">
        <v>33</v>
      </c>
      <c r="D53" s="32">
        <v>240</v>
      </c>
      <c r="E53" s="32">
        <v>25</v>
      </c>
      <c r="F53" s="32">
        <v>2.33</v>
      </c>
      <c r="G53" s="32" t="s">
        <v>135</v>
      </c>
      <c r="H53" s="32">
        <v>100</v>
      </c>
      <c r="I53" s="41"/>
      <c r="J53" s="37"/>
      <c r="K53" s="40"/>
      <c r="L53" s="42"/>
      <c r="M53" s="9"/>
      <c r="N53" s="9"/>
      <c r="O53" s="9"/>
      <c r="P53" s="9"/>
      <c r="Q53" s="9"/>
      <c r="R53" s="9"/>
      <c r="S53" s="9"/>
    </row>
    <row r="54" spans="1:19" ht="36" thickTop="1" thickBot="1" x14ac:dyDescent="0.25">
      <c r="A54" s="31" t="s">
        <v>221</v>
      </c>
      <c r="B54" s="32" t="s">
        <v>197</v>
      </c>
      <c r="C54" s="32" t="s">
        <v>33</v>
      </c>
      <c r="D54" s="32">
        <v>240</v>
      </c>
      <c r="E54" s="32">
        <v>29.8</v>
      </c>
      <c r="F54" s="32">
        <v>2.33</v>
      </c>
      <c r="G54" s="32" t="s">
        <v>135</v>
      </c>
      <c r="H54" s="32">
        <v>100</v>
      </c>
      <c r="I54" s="41"/>
      <c r="J54" s="36"/>
      <c r="K54" s="40"/>
      <c r="L54" s="43"/>
      <c r="M54" s="9"/>
      <c r="N54" s="9"/>
      <c r="O54" s="9"/>
      <c r="P54" s="9"/>
      <c r="Q54" s="9"/>
      <c r="R54" s="9"/>
      <c r="S54" s="9"/>
    </row>
    <row r="55" spans="1:19" ht="36" thickTop="1" thickBot="1" x14ac:dyDescent="0.25">
      <c r="A55" s="31" t="s">
        <v>222</v>
      </c>
      <c r="B55" s="32" t="s">
        <v>197</v>
      </c>
      <c r="C55" s="32" t="s">
        <v>33</v>
      </c>
      <c r="D55" s="32">
        <v>240</v>
      </c>
      <c r="E55" s="32">
        <v>30.3</v>
      </c>
      <c r="F55" s="32">
        <v>2.33</v>
      </c>
      <c r="G55" s="32" t="s">
        <v>135</v>
      </c>
      <c r="H55" s="32">
        <v>100</v>
      </c>
      <c r="I55" s="44"/>
      <c r="J55" s="36"/>
      <c r="K55" s="40"/>
      <c r="L55" s="43"/>
      <c r="M55" s="9"/>
      <c r="N55" s="9"/>
      <c r="O55" s="9"/>
      <c r="P55" s="9"/>
      <c r="Q55" s="9"/>
      <c r="R55" s="9"/>
      <c r="S55" s="9"/>
    </row>
    <row r="56" spans="1:19" ht="36" thickTop="1" thickBot="1" x14ac:dyDescent="0.25">
      <c r="A56" s="31" t="s">
        <v>223</v>
      </c>
      <c r="B56" s="32" t="s">
        <v>185</v>
      </c>
      <c r="C56" s="32" t="s">
        <v>33</v>
      </c>
      <c r="D56" s="32">
        <v>120</v>
      </c>
      <c r="E56" s="32">
        <v>26.9</v>
      </c>
      <c r="F56" s="32">
        <v>2.2999999999999998</v>
      </c>
      <c r="G56" s="32" t="s">
        <v>15</v>
      </c>
      <c r="H56" s="32">
        <v>99</v>
      </c>
      <c r="I56" s="41"/>
      <c r="J56" s="36"/>
      <c r="K56" s="45"/>
      <c r="L56" s="43"/>
      <c r="M56" s="9"/>
      <c r="N56" s="9"/>
      <c r="O56" s="9"/>
      <c r="P56" s="9"/>
      <c r="Q56" s="9"/>
      <c r="R56" s="9"/>
      <c r="S56" s="9"/>
    </row>
    <row r="57" spans="1:19" ht="36" thickTop="1" thickBot="1" x14ac:dyDescent="0.25">
      <c r="A57" s="31" t="s">
        <v>224</v>
      </c>
      <c r="B57" s="32" t="s">
        <v>185</v>
      </c>
      <c r="C57" s="32" t="s">
        <v>33</v>
      </c>
      <c r="D57" s="32">
        <v>120</v>
      </c>
      <c r="E57" s="32">
        <v>31.09</v>
      </c>
      <c r="F57" s="32">
        <v>2.2999999999999998</v>
      </c>
      <c r="G57" s="32" t="s">
        <v>15</v>
      </c>
      <c r="H57" s="32">
        <v>99</v>
      </c>
      <c r="I57" s="41"/>
      <c r="J57" s="36"/>
      <c r="K57" s="40"/>
      <c r="L57" s="43"/>
      <c r="M57" s="9"/>
      <c r="N57" s="9"/>
      <c r="O57" s="9"/>
      <c r="P57" s="9"/>
      <c r="Q57" s="9"/>
      <c r="R57" s="9"/>
      <c r="S57" s="9"/>
    </row>
    <row r="58" spans="1:19" ht="36" thickTop="1" thickBot="1" x14ac:dyDescent="0.25">
      <c r="A58" s="31" t="s">
        <v>225</v>
      </c>
      <c r="B58" s="32" t="s">
        <v>185</v>
      </c>
      <c r="C58" s="32" t="s">
        <v>33</v>
      </c>
      <c r="D58" s="32">
        <v>120</v>
      </c>
      <c r="E58" s="32">
        <v>35.6</v>
      </c>
      <c r="F58" s="32">
        <v>2.33</v>
      </c>
      <c r="G58" s="32" t="s">
        <v>15</v>
      </c>
      <c r="H58" s="32">
        <v>99</v>
      </c>
      <c r="I58" s="41"/>
      <c r="J58" s="36"/>
      <c r="K58" s="40"/>
      <c r="L58" s="43"/>
      <c r="M58" s="9"/>
      <c r="N58" s="9"/>
      <c r="O58" s="9"/>
      <c r="P58" s="9"/>
      <c r="Q58" s="9"/>
      <c r="R58" s="9"/>
      <c r="S58" s="9"/>
    </row>
    <row r="59" spans="1:19" ht="36" thickTop="1" thickBot="1" x14ac:dyDescent="0.25">
      <c r="A59" s="31" t="s">
        <v>226</v>
      </c>
      <c r="B59" s="32" t="s">
        <v>185</v>
      </c>
      <c r="C59" s="32" t="s">
        <v>33</v>
      </c>
      <c r="D59" s="32">
        <v>90</v>
      </c>
      <c r="E59" s="32">
        <v>34</v>
      </c>
      <c r="F59" s="32">
        <v>1.1000000000000001</v>
      </c>
      <c r="G59" s="32" t="s">
        <v>15</v>
      </c>
      <c r="H59" s="32">
        <v>99</v>
      </c>
      <c r="I59" s="41"/>
      <c r="J59" s="36"/>
      <c r="K59" s="40"/>
      <c r="L59" s="43"/>
      <c r="M59" s="9"/>
      <c r="N59" s="9"/>
      <c r="O59" s="9"/>
      <c r="P59" s="9"/>
      <c r="Q59" s="9"/>
      <c r="R59" s="9"/>
      <c r="S59" s="9"/>
    </row>
    <row r="60" spans="1:19" ht="36" thickTop="1" thickBot="1" x14ac:dyDescent="0.25">
      <c r="A60" s="46" t="s">
        <v>227</v>
      </c>
      <c r="B60" s="47" t="s">
        <v>185</v>
      </c>
      <c r="C60" s="32" t="s">
        <v>33</v>
      </c>
      <c r="D60" s="47">
        <v>240</v>
      </c>
      <c r="E60" s="47">
        <v>33.89</v>
      </c>
      <c r="F60" s="47">
        <v>10.3</v>
      </c>
      <c r="G60" s="32" t="s">
        <v>15</v>
      </c>
      <c r="H60" s="47">
        <v>99</v>
      </c>
      <c r="I60" s="41"/>
      <c r="J60" s="36"/>
      <c r="K60" s="40"/>
      <c r="L60" s="43"/>
      <c r="M60" s="9"/>
      <c r="N60" s="9"/>
      <c r="O60" s="9"/>
      <c r="P60" s="9"/>
      <c r="Q60" s="9"/>
      <c r="R60" s="9"/>
      <c r="S60" s="9"/>
    </row>
    <row r="61" spans="1:19" ht="36" thickTop="1" thickBot="1" x14ac:dyDescent="0.25">
      <c r="A61" s="48" t="s">
        <v>228</v>
      </c>
      <c r="B61" s="28" t="s">
        <v>197</v>
      </c>
      <c r="C61" s="32" t="s">
        <v>33</v>
      </c>
      <c r="D61" s="28">
        <v>180</v>
      </c>
      <c r="E61" s="49">
        <v>29.67</v>
      </c>
      <c r="F61" s="28">
        <v>2.33</v>
      </c>
      <c r="G61" s="32" t="s">
        <v>15</v>
      </c>
      <c r="H61" s="49">
        <v>99</v>
      </c>
      <c r="I61" s="41"/>
      <c r="J61" s="36"/>
      <c r="K61" s="40">
        <v>1100</v>
      </c>
      <c r="L61" s="43"/>
      <c r="M61" s="9"/>
      <c r="N61" s="9"/>
      <c r="O61" s="9"/>
      <c r="P61" s="9"/>
      <c r="Q61" s="9"/>
      <c r="R61" s="9"/>
      <c r="S61" s="9"/>
    </row>
    <row r="62" spans="1:19" ht="36" thickTop="1" thickBot="1" x14ac:dyDescent="0.25">
      <c r="A62" s="48" t="s">
        <v>229</v>
      </c>
      <c r="B62" s="32" t="s">
        <v>197</v>
      </c>
      <c r="C62" s="32" t="s">
        <v>33</v>
      </c>
      <c r="D62" s="32">
        <v>180</v>
      </c>
      <c r="E62" s="49">
        <v>29.29</v>
      </c>
      <c r="F62" s="32">
        <v>2.33</v>
      </c>
      <c r="G62" s="32" t="s">
        <v>15</v>
      </c>
      <c r="H62" s="49">
        <v>99</v>
      </c>
      <c r="I62" s="41"/>
      <c r="J62" s="36"/>
      <c r="K62" s="40">
        <v>1200</v>
      </c>
      <c r="L62" s="43"/>
      <c r="M62" s="9"/>
      <c r="N62" s="9"/>
      <c r="O62" s="9"/>
      <c r="P62" s="9"/>
      <c r="Q62" s="9"/>
      <c r="R62" s="9"/>
      <c r="S62" s="9"/>
    </row>
    <row r="63" spans="1:19" ht="36" thickTop="1" thickBot="1" x14ac:dyDescent="0.25">
      <c r="A63" s="48" t="s">
        <v>230</v>
      </c>
      <c r="B63" s="32" t="s">
        <v>197</v>
      </c>
      <c r="C63" s="32" t="s">
        <v>33</v>
      </c>
      <c r="D63" s="32">
        <v>180</v>
      </c>
      <c r="E63" s="49">
        <v>29.04</v>
      </c>
      <c r="F63" s="32">
        <v>2.33</v>
      </c>
      <c r="G63" s="32" t="s">
        <v>15</v>
      </c>
      <c r="H63" s="49">
        <v>99</v>
      </c>
      <c r="I63" s="41"/>
      <c r="J63" s="36"/>
      <c r="K63" s="40">
        <v>1150</v>
      </c>
      <c r="L63" s="43"/>
      <c r="M63" s="9"/>
      <c r="N63" s="9"/>
      <c r="O63" s="9"/>
      <c r="P63" s="9"/>
      <c r="Q63" s="9"/>
      <c r="R63" s="9"/>
      <c r="S63" s="9"/>
    </row>
    <row r="64" spans="1:19" ht="36" thickTop="1" thickBot="1" x14ac:dyDescent="0.25">
      <c r="A64" s="48" t="s">
        <v>231</v>
      </c>
      <c r="B64" s="32" t="s">
        <v>197</v>
      </c>
      <c r="C64" s="32" t="s">
        <v>33</v>
      </c>
      <c r="D64" s="32">
        <v>180</v>
      </c>
      <c r="E64" s="49">
        <v>29.48</v>
      </c>
      <c r="F64" s="32">
        <v>2.33</v>
      </c>
      <c r="G64" s="32" t="s">
        <v>15</v>
      </c>
      <c r="H64" s="49">
        <v>99</v>
      </c>
      <c r="I64" s="41"/>
      <c r="J64" s="36"/>
      <c r="K64" s="40">
        <v>1000</v>
      </c>
      <c r="L64" s="43"/>
      <c r="M64" s="9"/>
      <c r="N64" s="9"/>
      <c r="O64" s="9"/>
      <c r="P64" s="9"/>
      <c r="Q64" s="9"/>
      <c r="R64" s="9"/>
      <c r="S64" s="9"/>
    </row>
    <row r="65" spans="1:19" ht="36" thickTop="1" thickBot="1" x14ac:dyDescent="0.25">
      <c r="A65" s="48" t="s">
        <v>232</v>
      </c>
      <c r="B65" s="47" t="s">
        <v>197</v>
      </c>
      <c r="C65" s="32" t="s">
        <v>33</v>
      </c>
      <c r="D65" s="47">
        <v>180</v>
      </c>
      <c r="E65" s="49">
        <v>29.63</v>
      </c>
      <c r="F65" s="47">
        <v>2.33</v>
      </c>
      <c r="G65" s="47" t="s">
        <v>15</v>
      </c>
      <c r="H65" s="49">
        <v>99</v>
      </c>
      <c r="I65" s="41"/>
      <c r="J65" s="36"/>
      <c r="K65" s="40"/>
      <c r="L65" s="50"/>
      <c r="M65" s="9"/>
      <c r="N65" s="9"/>
      <c r="O65" s="9"/>
      <c r="P65" s="9"/>
      <c r="Q65" s="9"/>
      <c r="R65" s="9"/>
      <c r="S65" s="9"/>
    </row>
    <row r="66" spans="1:19" ht="36" thickTop="1" thickBot="1" x14ac:dyDescent="0.25">
      <c r="A66" s="48" t="s">
        <v>233</v>
      </c>
      <c r="B66" s="28" t="s">
        <v>197</v>
      </c>
      <c r="C66" s="47" t="s">
        <v>33</v>
      </c>
      <c r="D66" s="49">
        <v>180</v>
      </c>
      <c r="E66" s="49">
        <v>34.4</v>
      </c>
      <c r="F66" s="49">
        <v>2</v>
      </c>
      <c r="G66" s="49" t="s">
        <v>15</v>
      </c>
      <c r="H66" s="49">
        <v>99</v>
      </c>
      <c r="I66" s="41"/>
      <c r="J66" s="37"/>
      <c r="K66" s="37"/>
      <c r="L66" s="37"/>
      <c r="M66" s="9"/>
      <c r="N66" s="9"/>
      <c r="O66" s="9"/>
      <c r="P66" s="9"/>
      <c r="Q66" s="9"/>
      <c r="R66" s="9"/>
      <c r="S66" s="9"/>
    </row>
    <row r="67" spans="1:19" ht="36" thickTop="1" thickBot="1" x14ac:dyDescent="0.25">
      <c r="A67" s="48" t="s">
        <v>234</v>
      </c>
      <c r="B67" s="47" t="s">
        <v>197</v>
      </c>
      <c r="C67" s="49" t="s">
        <v>33</v>
      </c>
      <c r="D67" s="49">
        <v>180</v>
      </c>
      <c r="E67" s="49">
        <v>33.03</v>
      </c>
      <c r="F67" s="49">
        <v>2</v>
      </c>
      <c r="G67" s="49" t="s">
        <v>58</v>
      </c>
      <c r="H67" s="49">
        <v>99</v>
      </c>
      <c r="I67" s="41"/>
      <c r="J67" s="37"/>
      <c r="K67" s="37"/>
      <c r="L67" s="37"/>
      <c r="M67" s="9"/>
      <c r="N67" s="9"/>
      <c r="O67" s="9"/>
      <c r="P67" s="9"/>
      <c r="Q67" s="9"/>
      <c r="R67" s="9"/>
      <c r="S67" s="9"/>
    </row>
    <row r="68" spans="1:19" ht="17" thickTop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STO</vt:lpstr>
      <vt:lpstr>BSnT</vt:lpstr>
      <vt:lpstr>BZrT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2025-04-08T20:44:25Z</dcterms:created>
  <dcterms:modified xsi:type="dcterms:W3CDTF">2026-01-28T14:16:26Z</dcterms:modified>
</cp:coreProperties>
</file>